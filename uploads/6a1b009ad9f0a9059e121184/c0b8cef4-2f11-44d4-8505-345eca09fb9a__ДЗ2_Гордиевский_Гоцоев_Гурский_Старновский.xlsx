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SS1ER\Documents\"/>
    </mc:Choice>
  </mc:AlternateContent>
  <xr:revisionPtr revIDLastSave="0" documentId="8_{C73035EE-22E0-4517-9E89-50A1D6D66F31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Задание" sheetId="11" r:id="rId1"/>
    <sheet name="1.1" sheetId="1" r:id="rId2"/>
    <sheet name="1.2" sheetId="5" r:id="rId3"/>
    <sheet name="1.3" sheetId="2" r:id="rId4"/>
    <sheet name="1.4" sheetId="4" r:id="rId5"/>
    <sheet name="1.5" sheetId="6" r:id="rId6"/>
    <sheet name="1.6" sheetId="7" r:id="rId7"/>
    <sheet name="1.7" sheetId="9" r:id="rId8"/>
    <sheet name="1.8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2" l="1"/>
  <c r="D88" i="6"/>
  <c r="D89" i="6"/>
  <c r="D90" i="6"/>
  <c r="D91" i="6"/>
  <c r="D92" i="6"/>
  <c r="D93" i="6"/>
  <c r="D94" i="6"/>
  <c r="D95" i="6"/>
  <c r="D87" i="6"/>
  <c r="D36" i="6"/>
  <c r="D37" i="6"/>
  <c r="D38" i="6"/>
  <c r="D39" i="6"/>
  <c r="D40" i="6"/>
  <c r="D41" i="6"/>
  <c r="D42" i="6"/>
  <c r="D43" i="6"/>
  <c r="D35" i="6"/>
  <c r="D53" i="6"/>
  <c r="D54" i="6"/>
  <c r="D55" i="6"/>
  <c r="D56" i="6"/>
  <c r="D57" i="6"/>
  <c r="D58" i="6"/>
  <c r="D59" i="6"/>
  <c r="D60" i="6"/>
  <c r="D52" i="6"/>
  <c r="D5" i="6"/>
  <c r="D76" i="6" s="1"/>
  <c r="P114" i="2"/>
  <c r="P115" i="2"/>
  <c r="P113" i="2"/>
  <c r="O114" i="2"/>
  <c r="O115" i="2"/>
  <c r="O113" i="2"/>
  <c r="D113" i="2"/>
  <c r="E114" i="2"/>
  <c r="E113" i="2"/>
  <c r="O146" i="1"/>
  <c r="O147" i="1"/>
  <c r="O148" i="1"/>
  <c r="O145" i="1"/>
  <c r="E8" i="9"/>
  <c r="D8" i="9"/>
  <c r="C5" i="6"/>
  <c r="C77" i="6" s="1"/>
  <c r="C93" i="6"/>
  <c r="C94" i="6"/>
  <c r="C95" i="6"/>
  <c r="C58" i="6"/>
  <c r="C59" i="6"/>
  <c r="C60" i="6"/>
  <c r="A35" i="6" a="1"/>
  <c r="A35" i="6" s="1"/>
  <c r="C41" i="6"/>
  <c r="C42" i="6"/>
  <c r="C43" i="6"/>
  <c r="C40" i="6"/>
  <c r="D75" i="6" l="1"/>
  <c r="D74" i="6"/>
  <c r="D73" i="6"/>
  <c r="D72" i="6"/>
  <c r="D69" i="6"/>
  <c r="D78" i="6"/>
  <c r="D70" i="6"/>
  <c r="D77" i="6"/>
  <c r="D71" i="6"/>
  <c r="C76" i="6"/>
  <c r="C78" i="6"/>
  <c r="A39" i="6"/>
  <c r="A38" i="6"/>
  <c r="A41" i="6"/>
  <c r="A37" i="6"/>
  <c r="A43" i="6"/>
  <c r="A42" i="6"/>
  <c r="A40" i="6"/>
  <c r="A36" i="6"/>
  <c r="I125" i="5" l="1"/>
  <c r="E127" i="1" l="1"/>
  <c r="E126" i="1"/>
  <c r="D20" i="9"/>
  <c r="E19" i="9"/>
  <c r="H19" i="9" s="1"/>
  <c r="E18" i="9"/>
  <c r="H18" i="9" s="1"/>
  <c r="E17" i="9"/>
  <c r="H17" i="9" s="1"/>
  <c r="F20" i="9" s="1"/>
  <c r="C203" i="10"/>
  <c r="G203" i="10"/>
  <c r="K203" i="10"/>
  <c r="I213" i="10"/>
  <c r="I212" i="10"/>
  <c r="H213" i="10"/>
  <c r="H212" i="10"/>
  <c r="G213" i="10"/>
  <c r="G212" i="10"/>
  <c r="E213" i="10"/>
  <c r="D213" i="10"/>
  <c r="E212" i="10"/>
  <c r="D212" i="10"/>
  <c r="C213" i="10"/>
  <c r="H11" i="10" s="1"/>
  <c r="C212" i="10"/>
  <c r="H171" i="10" l="1"/>
  <c r="I171" i="10" s="1"/>
  <c r="J171" i="10" s="1"/>
  <c r="H107" i="10"/>
  <c r="H43" i="10"/>
  <c r="I43" i="10" s="1"/>
  <c r="J43" i="10" s="1"/>
  <c r="H5" i="10"/>
  <c r="I5" i="10" s="1"/>
  <c r="H139" i="10"/>
  <c r="I139" i="10" s="1"/>
  <c r="J139" i="10" s="1"/>
  <c r="H75" i="10"/>
  <c r="H187" i="10"/>
  <c r="I187" i="10" s="1"/>
  <c r="J187" i="10" s="1"/>
  <c r="H123" i="10"/>
  <c r="I123" i="10" s="1"/>
  <c r="J123" i="10" s="1"/>
  <c r="H59" i="10"/>
  <c r="I59" i="10" s="1"/>
  <c r="J59" i="10" s="1"/>
  <c r="H155" i="10"/>
  <c r="I155" i="10" s="1"/>
  <c r="J155" i="10" s="1"/>
  <c r="H91" i="10"/>
  <c r="I91" i="10" s="1"/>
  <c r="J91" i="10" s="1"/>
  <c r="H27" i="10"/>
  <c r="I27" i="10" s="1"/>
  <c r="J27" i="10" s="1"/>
  <c r="H199" i="10"/>
  <c r="I199" i="10" s="1"/>
  <c r="J199" i="10" s="1"/>
  <c r="H183" i="10"/>
  <c r="I183" i="10" s="1"/>
  <c r="J183" i="10" s="1"/>
  <c r="H167" i="10"/>
  <c r="I167" i="10" s="1"/>
  <c r="J167" i="10" s="1"/>
  <c r="H151" i="10"/>
  <c r="I151" i="10" s="1"/>
  <c r="J151" i="10" s="1"/>
  <c r="H135" i="10"/>
  <c r="I135" i="10" s="1"/>
  <c r="J135" i="10" s="1"/>
  <c r="H119" i="10"/>
  <c r="I119" i="10" s="1"/>
  <c r="J119" i="10" s="1"/>
  <c r="H103" i="10"/>
  <c r="H87" i="10"/>
  <c r="I87" i="10" s="1"/>
  <c r="J87" i="10" s="1"/>
  <c r="H71" i="10"/>
  <c r="I71" i="10" s="1"/>
  <c r="J71" i="10" s="1"/>
  <c r="H55" i="10"/>
  <c r="H39" i="10"/>
  <c r="H23" i="10"/>
  <c r="I23" i="10" s="1"/>
  <c r="J23" i="10" s="1"/>
  <c r="H7" i="10"/>
  <c r="I7" i="10" s="1"/>
  <c r="J7" i="10" s="1"/>
  <c r="H8" i="10"/>
  <c r="I8" i="10" s="1"/>
  <c r="J8" i="10" s="1"/>
  <c r="H12" i="10"/>
  <c r="I12" i="10" s="1"/>
  <c r="J12" i="10" s="1"/>
  <c r="H16" i="10"/>
  <c r="I16" i="10" s="1"/>
  <c r="J16" i="10" s="1"/>
  <c r="H20" i="10"/>
  <c r="I20" i="10" s="1"/>
  <c r="J20" i="10" s="1"/>
  <c r="H24" i="10"/>
  <c r="I24" i="10" s="1"/>
  <c r="J24" i="10" s="1"/>
  <c r="H28" i="10"/>
  <c r="I28" i="10" s="1"/>
  <c r="J28" i="10" s="1"/>
  <c r="H32" i="10"/>
  <c r="I32" i="10" s="1"/>
  <c r="J32" i="10" s="1"/>
  <c r="H36" i="10"/>
  <c r="I36" i="10" s="1"/>
  <c r="J36" i="10" s="1"/>
  <c r="H40" i="10"/>
  <c r="I40" i="10" s="1"/>
  <c r="J40" i="10" s="1"/>
  <c r="H44" i="10"/>
  <c r="I44" i="10" s="1"/>
  <c r="J44" i="10" s="1"/>
  <c r="H48" i="10"/>
  <c r="I48" i="10" s="1"/>
  <c r="J48" i="10" s="1"/>
  <c r="H52" i="10"/>
  <c r="I52" i="10" s="1"/>
  <c r="J52" i="10" s="1"/>
  <c r="H56" i="10"/>
  <c r="I56" i="10" s="1"/>
  <c r="J56" i="10" s="1"/>
  <c r="H60" i="10"/>
  <c r="H64" i="10"/>
  <c r="I64" i="10" s="1"/>
  <c r="J64" i="10" s="1"/>
  <c r="H68" i="10"/>
  <c r="I68" i="10" s="1"/>
  <c r="J68" i="10" s="1"/>
  <c r="H72" i="10"/>
  <c r="I72" i="10" s="1"/>
  <c r="J72" i="10" s="1"/>
  <c r="H76" i="10"/>
  <c r="I76" i="10" s="1"/>
  <c r="J76" i="10" s="1"/>
  <c r="H80" i="10"/>
  <c r="I80" i="10" s="1"/>
  <c r="J80" i="10" s="1"/>
  <c r="H84" i="10"/>
  <c r="I84" i="10" s="1"/>
  <c r="J84" i="10" s="1"/>
  <c r="H88" i="10"/>
  <c r="I88" i="10" s="1"/>
  <c r="J88" i="10" s="1"/>
  <c r="H92" i="10"/>
  <c r="I92" i="10" s="1"/>
  <c r="J92" i="10" s="1"/>
  <c r="H96" i="10"/>
  <c r="I96" i="10" s="1"/>
  <c r="J96" i="10" s="1"/>
  <c r="H100" i="10"/>
  <c r="I100" i="10" s="1"/>
  <c r="J100" i="10" s="1"/>
  <c r="H104" i="10"/>
  <c r="I104" i="10" s="1"/>
  <c r="J104" i="10" s="1"/>
  <c r="H108" i="10"/>
  <c r="I108" i="10" s="1"/>
  <c r="J108" i="10" s="1"/>
  <c r="H112" i="10"/>
  <c r="I112" i="10" s="1"/>
  <c r="J112" i="10" s="1"/>
  <c r="H116" i="10"/>
  <c r="I116" i="10" s="1"/>
  <c r="J116" i="10" s="1"/>
  <c r="H120" i="10"/>
  <c r="I120" i="10" s="1"/>
  <c r="J120" i="10" s="1"/>
  <c r="H124" i="10"/>
  <c r="I124" i="10" s="1"/>
  <c r="J124" i="10" s="1"/>
  <c r="H128" i="10"/>
  <c r="I128" i="10" s="1"/>
  <c r="J128" i="10" s="1"/>
  <c r="H132" i="10"/>
  <c r="I132" i="10" s="1"/>
  <c r="J132" i="10" s="1"/>
  <c r="H136" i="10"/>
  <c r="I136" i="10" s="1"/>
  <c r="J136" i="10" s="1"/>
  <c r="H140" i="10"/>
  <c r="H144" i="10"/>
  <c r="I144" i="10" s="1"/>
  <c r="J144" i="10" s="1"/>
  <c r="H148" i="10"/>
  <c r="I148" i="10" s="1"/>
  <c r="J148" i="10" s="1"/>
  <c r="H152" i="10"/>
  <c r="I152" i="10" s="1"/>
  <c r="J152" i="10" s="1"/>
  <c r="H156" i="10"/>
  <c r="I156" i="10" s="1"/>
  <c r="J156" i="10" s="1"/>
  <c r="H160" i="10"/>
  <c r="I160" i="10" s="1"/>
  <c r="J160" i="10" s="1"/>
  <c r="H164" i="10"/>
  <c r="I164" i="10" s="1"/>
  <c r="J164" i="10" s="1"/>
  <c r="H168" i="10"/>
  <c r="I168" i="10" s="1"/>
  <c r="J168" i="10" s="1"/>
  <c r="H172" i="10"/>
  <c r="H176" i="10"/>
  <c r="I176" i="10" s="1"/>
  <c r="J176" i="10" s="1"/>
  <c r="H180" i="10"/>
  <c r="I180" i="10" s="1"/>
  <c r="J180" i="10" s="1"/>
  <c r="H184" i="10"/>
  <c r="I184" i="10" s="1"/>
  <c r="J184" i="10" s="1"/>
  <c r="H188" i="10"/>
  <c r="I188" i="10" s="1"/>
  <c r="J188" i="10" s="1"/>
  <c r="H192" i="10"/>
  <c r="I192" i="10" s="1"/>
  <c r="J192" i="10" s="1"/>
  <c r="H196" i="10"/>
  <c r="H200" i="10"/>
  <c r="I200" i="10" s="1"/>
  <c r="J200" i="10" s="1"/>
  <c r="H9" i="10"/>
  <c r="I9" i="10" s="1"/>
  <c r="J9" i="10" s="1"/>
  <c r="H13" i="10"/>
  <c r="I13" i="10" s="1"/>
  <c r="J13" i="10" s="1"/>
  <c r="H17" i="10"/>
  <c r="I17" i="10" s="1"/>
  <c r="J17" i="10" s="1"/>
  <c r="H21" i="10"/>
  <c r="I21" i="10" s="1"/>
  <c r="J21" i="10" s="1"/>
  <c r="H25" i="10"/>
  <c r="I25" i="10" s="1"/>
  <c r="J25" i="10" s="1"/>
  <c r="H29" i="10"/>
  <c r="I29" i="10" s="1"/>
  <c r="J29" i="10" s="1"/>
  <c r="H33" i="10"/>
  <c r="I33" i="10" s="1"/>
  <c r="J33" i="10" s="1"/>
  <c r="H37" i="10"/>
  <c r="I37" i="10" s="1"/>
  <c r="J37" i="10" s="1"/>
  <c r="H41" i="10"/>
  <c r="I41" i="10" s="1"/>
  <c r="J41" i="10" s="1"/>
  <c r="H45" i="10"/>
  <c r="I45" i="10" s="1"/>
  <c r="J45" i="10" s="1"/>
  <c r="H49" i="10"/>
  <c r="I49" i="10" s="1"/>
  <c r="J49" i="10" s="1"/>
  <c r="H53" i="10"/>
  <c r="H57" i="10"/>
  <c r="I57" i="10" s="1"/>
  <c r="J57" i="10" s="1"/>
  <c r="H61" i="10"/>
  <c r="I61" i="10" s="1"/>
  <c r="J61" i="10" s="1"/>
  <c r="H65" i="10"/>
  <c r="I65" i="10" s="1"/>
  <c r="J65" i="10" s="1"/>
  <c r="H69" i="10"/>
  <c r="I69" i="10" s="1"/>
  <c r="J69" i="10" s="1"/>
  <c r="H73" i="10"/>
  <c r="I73" i="10" s="1"/>
  <c r="J73" i="10" s="1"/>
  <c r="H77" i="10"/>
  <c r="I77" i="10" s="1"/>
  <c r="J77" i="10" s="1"/>
  <c r="H81" i="10"/>
  <c r="I81" i="10" s="1"/>
  <c r="J81" i="10" s="1"/>
  <c r="H85" i="10"/>
  <c r="I85" i="10" s="1"/>
  <c r="J85" i="10" s="1"/>
  <c r="H89" i="10"/>
  <c r="I89" i="10" s="1"/>
  <c r="J89" i="10" s="1"/>
  <c r="H93" i="10"/>
  <c r="I93" i="10" s="1"/>
  <c r="J93" i="10" s="1"/>
  <c r="H97" i="10"/>
  <c r="I97" i="10" s="1"/>
  <c r="J97" i="10" s="1"/>
  <c r="H101" i="10"/>
  <c r="H105" i="10"/>
  <c r="I105" i="10" s="1"/>
  <c r="J105" i="10" s="1"/>
  <c r="H109" i="10"/>
  <c r="I109" i="10" s="1"/>
  <c r="J109" i="10" s="1"/>
  <c r="H113" i="10"/>
  <c r="I113" i="10" s="1"/>
  <c r="J113" i="10" s="1"/>
  <c r="H117" i="10"/>
  <c r="I117" i="10" s="1"/>
  <c r="J117" i="10" s="1"/>
  <c r="H121" i="10"/>
  <c r="H125" i="10"/>
  <c r="I125" i="10" s="1"/>
  <c r="J125" i="10" s="1"/>
  <c r="H129" i="10"/>
  <c r="I129" i="10" s="1"/>
  <c r="J129" i="10" s="1"/>
  <c r="H133" i="10"/>
  <c r="H137" i="10"/>
  <c r="I137" i="10" s="1"/>
  <c r="J137" i="10" s="1"/>
  <c r="H141" i="10"/>
  <c r="I141" i="10" s="1"/>
  <c r="J141" i="10" s="1"/>
  <c r="H145" i="10"/>
  <c r="I145" i="10" s="1"/>
  <c r="J145" i="10" s="1"/>
  <c r="H149" i="10"/>
  <c r="H153" i="10"/>
  <c r="I153" i="10" s="1"/>
  <c r="J153" i="10" s="1"/>
  <c r="H157" i="10"/>
  <c r="I157" i="10" s="1"/>
  <c r="J157" i="10" s="1"/>
  <c r="H161" i="10"/>
  <c r="I161" i="10" s="1"/>
  <c r="J161" i="10" s="1"/>
  <c r="H165" i="10"/>
  <c r="I165" i="10" s="1"/>
  <c r="J165" i="10" s="1"/>
  <c r="H169" i="10"/>
  <c r="I169" i="10" s="1"/>
  <c r="J169" i="10" s="1"/>
  <c r="H173" i="10"/>
  <c r="I173" i="10" s="1"/>
  <c r="J173" i="10" s="1"/>
  <c r="H177" i="10"/>
  <c r="I177" i="10" s="1"/>
  <c r="J177" i="10" s="1"/>
  <c r="H181" i="10"/>
  <c r="H185" i="10"/>
  <c r="I185" i="10" s="1"/>
  <c r="J185" i="10" s="1"/>
  <c r="H189" i="10"/>
  <c r="I189" i="10" s="1"/>
  <c r="J189" i="10" s="1"/>
  <c r="H193" i="10"/>
  <c r="I193" i="10" s="1"/>
  <c r="J193" i="10" s="1"/>
  <c r="H197" i="10"/>
  <c r="H201" i="10"/>
  <c r="H6" i="10"/>
  <c r="I6" i="10" s="1"/>
  <c r="J6" i="10" s="1"/>
  <c r="H14" i="10"/>
  <c r="I14" i="10" s="1"/>
  <c r="J14" i="10" s="1"/>
  <c r="H18" i="10"/>
  <c r="I18" i="10" s="1"/>
  <c r="J18" i="10" s="1"/>
  <c r="H26" i="10"/>
  <c r="I26" i="10" s="1"/>
  <c r="J26" i="10" s="1"/>
  <c r="H34" i="10"/>
  <c r="I34" i="10" s="1"/>
  <c r="J34" i="10" s="1"/>
  <c r="H42" i="10"/>
  <c r="I42" i="10" s="1"/>
  <c r="J42" i="10" s="1"/>
  <c r="H46" i="10"/>
  <c r="I46" i="10" s="1"/>
  <c r="J46" i="10" s="1"/>
  <c r="H54" i="10"/>
  <c r="I54" i="10" s="1"/>
  <c r="J54" i="10" s="1"/>
  <c r="H62" i="10"/>
  <c r="I62" i="10" s="1"/>
  <c r="J62" i="10" s="1"/>
  <c r="H66" i="10"/>
  <c r="I66" i="10" s="1"/>
  <c r="J66" i="10" s="1"/>
  <c r="H74" i="10"/>
  <c r="H82" i="10"/>
  <c r="I82" i="10" s="1"/>
  <c r="J82" i="10" s="1"/>
  <c r="H90" i="10"/>
  <c r="I90" i="10" s="1"/>
  <c r="J90" i="10" s="1"/>
  <c r="H94" i="10"/>
  <c r="I94" i="10" s="1"/>
  <c r="J94" i="10" s="1"/>
  <c r="H102" i="10"/>
  <c r="I102" i="10" s="1"/>
  <c r="J102" i="10" s="1"/>
  <c r="H110" i="10"/>
  <c r="I110" i="10" s="1"/>
  <c r="J110" i="10" s="1"/>
  <c r="H118" i="10"/>
  <c r="I118" i="10" s="1"/>
  <c r="J118" i="10" s="1"/>
  <c r="H126" i="10"/>
  <c r="I126" i="10" s="1"/>
  <c r="J126" i="10" s="1"/>
  <c r="H134" i="10"/>
  <c r="I134" i="10" s="1"/>
  <c r="J134" i="10" s="1"/>
  <c r="H142" i="10"/>
  <c r="I142" i="10" s="1"/>
  <c r="J142" i="10" s="1"/>
  <c r="H150" i="10"/>
  <c r="I150" i="10" s="1"/>
  <c r="J150" i="10" s="1"/>
  <c r="H154" i="10"/>
  <c r="I154" i="10" s="1"/>
  <c r="J154" i="10" s="1"/>
  <c r="H162" i="10"/>
  <c r="I162" i="10" s="1"/>
  <c r="J162" i="10" s="1"/>
  <c r="H170" i="10"/>
  <c r="H178" i="10"/>
  <c r="I178" i="10" s="1"/>
  <c r="J178" i="10" s="1"/>
  <c r="H186" i="10"/>
  <c r="I186" i="10" s="1"/>
  <c r="J186" i="10" s="1"/>
  <c r="H194" i="10"/>
  <c r="H202" i="10"/>
  <c r="I202" i="10" s="1"/>
  <c r="J202" i="10" s="1"/>
  <c r="H10" i="10"/>
  <c r="I10" i="10" s="1"/>
  <c r="J10" i="10" s="1"/>
  <c r="H22" i="10"/>
  <c r="I22" i="10" s="1"/>
  <c r="J22" i="10" s="1"/>
  <c r="H30" i="10"/>
  <c r="I30" i="10" s="1"/>
  <c r="J30" i="10" s="1"/>
  <c r="H38" i="10"/>
  <c r="I38" i="10" s="1"/>
  <c r="J38" i="10" s="1"/>
  <c r="H50" i="10"/>
  <c r="I50" i="10" s="1"/>
  <c r="J50" i="10" s="1"/>
  <c r="H58" i="10"/>
  <c r="I58" i="10" s="1"/>
  <c r="J58" i="10" s="1"/>
  <c r="H70" i="10"/>
  <c r="I70" i="10" s="1"/>
  <c r="J70" i="10" s="1"/>
  <c r="H78" i="10"/>
  <c r="I78" i="10" s="1"/>
  <c r="J78" i="10" s="1"/>
  <c r="H86" i="10"/>
  <c r="I86" i="10" s="1"/>
  <c r="J86" i="10" s="1"/>
  <c r="H98" i="10"/>
  <c r="I98" i="10" s="1"/>
  <c r="J98" i="10" s="1"/>
  <c r="H106" i="10"/>
  <c r="H114" i="10"/>
  <c r="I114" i="10" s="1"/>
  <c r="J114" i="10" s="1"/>
  <c r="H122" i="10"/>
  <c r="I122" i="10" s="1"/>
  <c r="J122" i="10" s="1"/>
  <c r="H130" i="10"/>
  <c r="H138" i="10"/>
  <c r="I138" i="10" s="1"/>
  <c r="J138" i="10" s="1"/>
  <c r="H146" i="10"/>
  <c r="I146" i="10" s="1"/>
  <c r="J146" i="10" s="1"/>
  <c r="H158" i="10"/>
  <c r="I158" i="10" s="1"/>
  <c r="J158" i="10" s="1"/>
  <c r="H166" i="10"/>
  <c r="I166" i="10" s="1"/>
  <c r="J166" i="10" s="1"/>
  <c r="H174" i="10"/>
  <c r="I174" i="10" s="1"/>
  <c r="J174" i="10" s="1"/>
  <c r="H182" i="10"/>
  <c r="I182" i="10" s="1"/>
  <c r="J182" i="10" s="1"/>
  <c r="H190" i="10"/>
  <c r="I190" i="10" s="1"/>
  <c r="J190" i="10" s="1"/>
  <c r="H198" i="10"/>
  <c r="I198" i="10" s="1"/>
  <c r="J198" i="10" s="1"/>
  <c r="H195" i="10"/>
  <c r="H179" i="10"/>
  <c r="I179" i="10" s="1"/>
  <c r="J179" i="10" s="1"/>
  <c r="H163" i="10"/>
  <c r="I163" i="10" s="1"/>
  <c r="J163" i="10" s="1"/>
  <c r="H147" i="10"/>
  <c r="I147" i="10" s="1"/>
  <c r="J147" i="10" s="1"/>
  <c r="H131" i="10"/>
  <c r="H115" i="10"/>
  <c r="I115" i="10" s="1"/>
  <c r="J115" i="10" s="1"/>
  <c r="H99" i="10"/>
  <c r="I99" i="10" s="1"/>
  <c r="J99" i="10" s="1"/>
  <c r="H83" i="10"/>
  <c r="I83" i="10" s="1"/>
  <c r="J83" i="10" s="1"/>
  <c r="H67" i="10"/>
  <c r="I67" i="10" s="1"/>
  <c r="J67" i="10" s="1"/>
  <c r="H51" i="10"/>
  <c r="I51" i="10" s="1"/>
  <c r="J51" i="10" s="1"/>
  <c r="H35" i="10"/>
  <c r="I35" i="10" s="1"/>
  <c r="J35" i="10" s="1"/>
  <c r="H19" i="10"/>
  <c r="I19" i="10" s="1"/>
  <c r="J19" i="10" s="1"/>
  <c r="H191" i="10"/>
  <c r="I191" i="10" s="1"/>
  <c r="J191" i="10" s="1"/>
  <c r="H175" i="10"/>
  <c r="I175" i="10" s="1"/>
  <c r="J175" i="10" s="1"/>
  <c r="H159" i="10"/>
  <c r="I159" i="10" s="1"/>
  <c r="J159" i="10" s="1"/>
  <c r="H143" i="10"/>
  <c r="I143" i="10" s="1"/>
  <c r="J143" i="10" s="1"/>
  <c r="H127" i="10"/>
  <c r="I127" i="10" s="1"/>
  <c r="J127" i="10" s="1"/>
  <c r="H111" i="10"/>
  <c r="I111" i="10" s="1"/>
  <c r="J111" i="10" s="1"/>
  <c r="H95" i="10"/>
  <c r="I95" i="10" s="1"/>
  <c r="J95" i="10" s="1"/>
  <c r="H79" i="10"/>
  <c r="I79" i="10" s="1"/>
  <c r="J79" i="10" s="1"/>
  <c r="H63" i="10"/>
  <c r="H47" i="10"/>
  <c r="I47" i="10" s="1"/>
  <c r="J47" i="10" s="1"/>
  <c r="H31" i="10"/>
  <c r="I31" i="10" s="1"/>
  <c r="J31" i="10" s="1"/>
  <c r="H15" i="10"/>
  <c r="I15" i="10" s="1"/>
  <c r="J15" i="10" s="1"/>
  <c r="I74" i="10"/>
  <c r="J74" i="10" s="1"/>
  <c r="I196" i="10"/>
  <c r="J196" i="10" s="1"/>
  <c r="I172" i="10"/>
  <c r="J172" i="10" s="1"/>
  <c r="I140" i="10"/>
  <c r="J140" i="10" s="1"/>
  <c r="I201" i="10"/>
  <c r="J201" i="10" s="1"/>
  <c r="I197" i="10"/>
  <c r="J197" i="10" s="1"/>
  <c r="I181" i="10"/>
  <c r="J181" i="10" s="1"/>
  <c r="I149" i="10"/>
  <c r="J149" i="10" s="1"/>
  <c r="I133" i="10"/>
  <c r="J133" i="10" s="1"/>
  <c r="I121" i="10"/>
  <c r="J121" i="10" s="1"/>
  <c r="I101" i="10"/>
  <c r="J101" i="10" s="1"/>
  <c r="I194" i="10"/>
  <c r="J194" i="10" s="1"/>
  <c r="I170" i="10"/>
  <c r="J170" i="10" s="1"/>
  <c r="I130" i="10"/>
  <c r="J130" i="10" s="1"/>
  <c r="I106" i="10"/>
  <c r="J106" i="10" s="1"/>
  <c r="I103" i="10"/>
  <c r="J103" i="10" s="1"/>
  <c r="I75" i="10"/>
  <c r="J75" i="10" s="1"/>
  <c r="I63" i="10"/>
  <c r="J63" i="10" s="1"/>
  <c r="I55" i="10"/>
  <c r="J55" i="10" s="1"/>
  <c r="I39" i="10"/>
  <c r="J39" i="10" s="1"/>
  <c r="I11" i="10"/>
  <c r="J11" i="10" s="1"/>
  <c r="I195" i="10"/>
  <c r="J195" i="10" s="1"/>
  <c r="I131" i="10"/>
  <c r="J131" i="10" s="1"/>
  <c r="I60" i="10"/>
  <c r="J60" i="10" s="1"/>
  <c r="F213" i="10"/>
  <c r="N213" i="10" s="1"/>
  <c r="I53" i="10"/>
  <c r="J53" i="10" s="1"/>
  <c r="I107" i="10"/>
  <c r="J107" i="10" s="1"/>
  <c r="F212" i="10"/>
  <c r="N212" i="10" s="1"/>
  <c r="D189" i="10"/>
  <c r="E189" i="10" s="1"/>
  <c r="F189" i="10" s="1"/>
  <c r="D170" i="10"/>
  <c r="E170" i="10" s="1"/>
  <c r="F170" i="10" s="1"/>
  <c r="D149" i="10"/>
  <c r="E149" i="10" s="1"/>
  <c r="F149" i="10" s="1"/>
  <c r="D128" i="10"/>
  <c r="E128" i="10" s="1"/>
  <c r="F128" i="10" s="1"/>
  <c r="D106" i="10"/>
  <c r="E106" i="10" s="1"/>
  <c r="F106" i="10" s="1"/>
  <c r="D85" i="10"/>
  <c r="E85" i="10" s="1"/>
  <c r="F85" i="10" s="1"/>
  <c r="D57" i="10"/>
  <c r="E57" i="10" s="1"/>
  <c r="F57" i="10" s="1"/>
  <c r="D25" i="10"/>
  <c r="E25" i="10" s="1"/>
  <c r="F25" i="10" s="1"/>
  <c r="D202" i="10"/>
  <c r="E202" i="10" s="1"/>
  <c r="F202" i="10" s="1"/>
  <c r="D201" i="10"/>
  <c r="E201" i="10" s="1"/>
  <c r="F201" i="10" s="1"/>
  <c r="D185" i="10"/>
  <c r="E185" i="10" s="1"/>
  <c r="F185" i="10" s="1"/>
  <c r="D165" i="10"/>
  <c r="E165" i="10" s="1"/>
  <c r="F165" i="10" s="1"/>
  <c r="D144" i="10"/>
  <c r="E144" i="10" s="1"/>
  <c r="F144" i="10" s="1"/>
  <c r="D122" i="10"/>
  <c r="E122" i="10" s="1"/>
  <c r="F122" i="10" s="1"/>
  <c r="D101" i="10"/>
  <c r="E101" i="10" s="1"/>
  <c r="F101" i="10" s="1"/>
  <c r="D80" i="10"/>
  <c r="E80" i="10" s="1"/>
  <c r="F80" i="10" s="1"/>
  <c r="D49" i="10"/>
  <c r="E49" i="10" s="1"/>
  <c r="F49" i="10" s="1"/>
  <c r="D17" i="10"/>
  <c r="E17" i="10" s="1"/>
  <c r="F17" i="10" s="1"/>
  <c r="D197" i="10"/>
  <c r="E197" i="10" s="1"/>
  <c r="F197" i="10" s="1"/>
  <c r="D181" i="10"/>
  <c r="E181" i="10" s="1"/>
  <c r="F181" i="10" s="1"/>
  <c r="D160" i="10"/>
  <c r="E160" i="10" s="1"/>
  <c r="F160" i="10" s="1"/>
  <c r="D138" i="10"/>
  <c r="E138" i="10" s="1"/>
  <c r="F138" i="10" s="1"/>
  <c r="D117" i="10"/>
  <c r="E117" i="10" s="1"/>
  <c r="F117" i="10" s="1"/>
  <c r="D96" i="10"/>
  <c r="E96" i="10" s="1"/>
  <c r="F96" i="10" s="1"/>
  <c r="D73" i="10"/>
  <c r="E73" i="10" s="1"/>
  <c r="F73" i="10" s="1"/>
  <c r="D41" i="10"/>
  <c r="E41" i="10" s="1"/>
  <c r="F41" i="10" s="1"/>
  <c r="D9" i="10"/>
  <c r="E9" i="10" s="1"/>
  <c r="F9" i="10" s="1"/>
  <c r="D193" i="10"/>
  <c r="E193" i="10" s="1"/>
  <c r="F193" i="10" s="1"/>
  <c r="D176" i="10"/>
  <c r="E176" i="10" s="1"/>
  <c r="F176" i="10" s="1"/>
  <c r="D154" i="10"/>
  <c r="E154" i="10" s="1"/>
  <c r="F154" i="10" s="1"/>
  <c r="D133" i="10"/>
  <c r="E133" i="10" s="1"/>
  <c r="F133" i="10" s="1"/>
  <c r="D112" i="10"/>
  <c r="E112" i="10" s="1"/>
  <c r="F112" i="10" s="1"/>
  <c r="D90" i="10"/>
  <c r="E90" i="10" s="1"/>
  <c r="F90" i="10" s="1"/>
  <c r="D65" i="10"/>
  <c r="E65" i="10" s="1"/>
  <c r="F65" i="10" s="1"/>
  <c r="D33" i="10"/>
  <c r="E33" i="10" s="1"/>
  <c r="F33" i="10" s="1"/>
  <c r="D200" i="10"/>
  <c r="E200" i="10" s="1"/>
  <c r="F200" i="10" s="1"/>
  <c r="D196" i="10"/>
  <c r="E196" i="10" s="1"/>
  <c r="F196" i="10" s="1"/>
  <c r="D192" i="10"/>
  <c r="E192" i="10" s="1"/>
  <c r="F192" i="10" s="1"/>
  <c r="D188" i="10"/>
  <c r="E188" i="10" s="1"/>
  <c r="F188" i="10" s="1"/>
  <c r="D184" i="10"/>
  <c r="E184" i="10" s="1"/>
  <c r="F184" i="10" s="1"/>
  <c r="D180" i="10"/>
  <c r="E180" i="10" s="1"/>
  <c r="F180" i="10" s="1"/>
  <c r="D174" i="10"/>
  <c r="E174" i="10" s="1"/>
  <c r="F174" i="10" s="1"/>
  <c r="D169" i="10"/>
  <c r="E169" i="10" s="1"/>
  <c r="F169" i="10" s="1"/>
  <c r="D164" i="10"/>
  <c r="E164" i="10" s="1"/>
  <c r="F164" i="10" s="1"/>
  <c r="D158" i="10"/>
  <c r="E158" i="10" s="1"/>
  <c r="F158" i="10" s="1"/>
  <c r="D153" i="10"/>
  <c r="E153" i="10" s="1"/>
  <c r="F153" i="10" s="1"/>
  <c r="D148" i="10"/>
  <c r="E148" i="10" s="1"/>
  <c r="F148" i="10" s="1"/>
  <c r="D142" i="10"/>
  <c r="E142" i="10" s="1"/>
  <c r="F142" i="10" s="1"/>
  <c r="D137" i="10"/>
  <c r="E137" i="10" s="1"/>
  <c r="F137" i="10" s="1"/>
  <c r="D132" i="10"/>
  <c r="E132" i="10" s="1"/>
  <c r="F132" i="10" s="1"/>
  <c r="D126" i="10"/>
  <c r="E126" i="10" s="1"/>
  <c r="F126" i="10" s="1"/>
  <c r="D121" i="10"/>
  <c r="E121" i="10" s="1"/>
  <c r="F121" i="10" s="1"/>
  <c r="D116" i="10"/>
  <c r="E116" i="10" s="1"/>
  <c r="F116" i="10" s="1"/>
  <c r="D110" i="10"/>
  <c r="E110" i="10" s="1"/>
  <c r="F110" i="10" s="1"/>
  <c r="D105" i="10"/>
  <c r="E105" i="10" s="1"/>
  <c r="F105" i="10" s="1"/>
  <c r="D100" i="10"/>
  <c r="E100" i="10" s="1"/>
  <c r="F100" i="10" s="1"/>
  <c r="D94" i="10"/>
  <c r="E94" i="10" s="1"/>
  <c r="F94" i="10" s="1"/>
  <c r="D89" i="10"/>
  <c r="E89" i="10" s="1"/>
  <c r="F89" i="10" s="1"/>
  <c r="D84" i="10"/>
  <c r="E84" i="10" s="1"/>
  <c r="F84" i="10" s="1"/>
  <c r="D78" i="10"/>
  <c r="E78" i="10" s="1"/>
  <c r="F78" i="10" s="1"/>
  <c r="D70" i="10"/>
  <c r="E70" i="10" s="1"/>
  <c r="F70" i="10" s="1"/>
  <c r="D62" i="10"/>
  <c r="E62" i="10" s="1"/>
  <c r="F62" i="10" s="1"/>
  <c r="D54" i="10"/>
  <c r="E54" i="10" s="1"/>
  <c r="F54" i="10" s="1"/>
  <c r="D46" i="10"/>
  <c r="E46" i="10" s="1"/>
  <c r="F46" i="10" s="1"/>
  <c r="D38" i="10"/>
  <c r="E38" i="10" s="1"/>
  <c r="F38" i="10" s="1"/>
  <c r="D30" i="10"/>
  <c r="E30" i="10" s="1"/>
  <c r="F30" i="10" s="1"/>
  <c r="D22" i="10"/>
  <c r="E22" i="10" s="1"/>
  <c r="F22" i="10" s="1"/>
  <c r="D14" i="10"/>
  <c r="E14" i="10" s="1"/>
  <c r="F14" i="10" s="1"/>
  <c r="D6" i="10"/>
  <c r="E6" i="10" s="1"/>
  <c r="F6" i="10" s="1"/>
  <c r="D199" i="10"/>
  <c r="E199" i="10" s="1"/>
  <c r="F199" i="10" s="1"/>
  <c r="D195" i="10"/>
  <c r="E195" i="10" s="1"/>
  <c r="F195" i="10" s="1"/>
  <c r="D191" i="10"/>
  <c r="E191" i="10" s="1"/>
  <c r="F191" i="10" s="1"/>
  <c r="D187" i="10"/>
  <c r="E187" i="10" s="1"/>
  <c r="F187" i="10" s="1"/>
  <c r="D183" i="10"/>
  <c r="E183" i="10" s="1"/>
  <c r="F183" i="10" s="1"/>
  <c r="D178" i="10"/>
  <c r="E178" i="10" s="1"/>
  <c r="F178" i="10" s="1"/>
  <c r="D173" i="10"/>
  <c r="E173" i="10" s="1"/>
  <c r="F173" i="10" s="1"/>
  <c r="D168" i="10"/>
  <c r="E168" i="10" s="1"/>
  <c r="F168" i="10" s="1"/>
  <c r="D162" i="10"/>
  <c r="E162" i="10" s="1"/>
  <c r="F162" i="10" s="1"/>
  <c r="D157" i="10"/>
  <c r="E157" i="10" s="1"/>
  <c r="F157" i="10" s="1"/>
  <c r="D152" i="10"/>
  <c r="E152" i="10" s="1"/>
  <c r="F152" i="10" s="1"/>
  <c r="D146" i="10"/>
  <c r="E146" i="10" s="1"/>
  <c r="F146" i="10" s="1"/>
  <c r="D141" i="10"/>
  <c r="E141" i="10" s="1"/>
  <c r="F141" i="10" s="1"/>
  <c r="D136" i="10"/>
  <c r="E136" i="10" s="1"/>
  <c r="F136" i="10" s="1"/>
  <c r="D130" i="10"/>
  <c r="E130" i="10" s="1"/>
  <c r="F130" i="10" s="1"/>
  <c r="D125" i="10"/>
  <c r="E125" i="10" s="1"/>
  <c r="F125" i="10" s="1"/>
  <c r="D120" i="10"/>
  <c r="E120" i="10" s="1"/>
  <c r="F120" i="10" s="1"/>
  <c r="D114" i="10"/>
  <c r="E114" i="10" s="1"/>
  <c r="F114" i="10" s="1"/>
  <c r="D109" i="10"/>
  <c r="E109" i="10" s="1"/>
  <c r="F109" i="10" s="1"/>
  <c r="D104" i="10"/>
  <c r="E104" i="10" s="1"/>
  <c r="F104" i="10" s="1"/>
  <c r="D98" i="10"/>
  <c r="E98" i="10" s="1"/>
  <c r="F98" i="10" s="1"/>
  <c r="D93" i="10"/>
  <c r="E93" i="10" s="1"/>
  <c r="F93" i="10" s="1"/>
  <c r="D88" i="10"/>
  <c r="E88" i="10" s="1"/>
  <c r="F88" i="10" s="1"/>
  <c r="D82" i="10"/>
  <c r="E82" i="10" s="1"/>
  <c r="F82" i="10" s="1"/>
  <c r="D77" i="10"/>
  <c r="E77" i="10" s="1"/>
  <c r="F77" i="10" s="1"/>
  <c r="D69" i="10"/>
  <c r="E69" i="10" s="1"/>
  <c r="F69" i="10" s="1"/>
  <c r="D61" i="10"/>
  <c r="E61" i="10" s="1"/>
  <c r="F61" i="10" s="1"/>
  <c r="D53" i="10"/>
  <c r="E53" i="10" s="1"/>
  <c r="F53" i="10" s="1"/>
  <c r="D45" i="10"/>
  <c r="E45" i="10" s="1"/>
  <c r="F45" i="10" s="1"/>
  <c r="D37" i="10"/>
  <c r="E37" i="10" s="1"/>
  <c r="F37" i="10" s="1"/>
  <c r="D29" i="10"/>
  <c r="E29" i="10" s="1"/>
  <c r="F29" i="10" s="1"/>
  <c r="D21" i="10"/>
  <c r="E21" i="10" s="1"/>
  <c r="F21" i="10" s="1"/>
  <c r="D13" i="10"/>
  <c r="E13" i="10" s="1"/>
  <c r="F13" i="10" s="1"/>
  <c r="D7" i="10"/>
  <c r="E7" i="10" s="1"/>
  <c r="F7" i="10" s="1"/>
  <c r="D11" i="10"/>
  <c r="E11" i="10" s="1"/>
  <c r="F11" i="10" s="1"/>
  <c r="D15" i="10"/>
  <c r="E15" i="10" s="1"/>
  <c r="F15" i="10" s="1"/>
  <c r="D19" i="10"/>
  <c r="E19" i="10" s="1"/>
  <c r="F19" i="10" s="1"/>
  <c r="D23" i="10"/>
  <c r="E23" i="10" s="1"/>
  <c r="F23" i="10" s="1"/>
  <c r="D27" i="10"/>
  <c r="E27" i="10" s="1"/>
  <c r="F27" i="10" s="1"/>
  <c r="D31" i="10"/>
  <c r="E31" i="10" s="1"/>
  <c r="F31" i="10" s="1"/>
  <c r="D35" i="10"/>
  <c r="E35" i="10" s="1"/>
  <c r="F35" i="10" s="1"/>
  <c r="D39" i="10"/>
  <c r="E39" i="10" s="1"/>
  <c r="F39" i="10" s="1"/>
  <c r="D43" i="10"/>
  <c r="E43" i="10" s="1"/>
  <c r="F43" i="10" s="1"/>
  <c r="D47" i="10"/>
  <c r="E47" i="10" s="1"/>
  <c r="F47" i="10" s="1"/>
  <c r="D51" i="10"/>
  <c r="E51" i="10" s="1"/>
  <c r="F51" i="10" s="1"/>
  <c r="D55" i="10"/>
  <c r="E55" i="10" s="1"/>
  <c r="F55" i="10" s="1"/>
  <c r="D59" i="10"/>
  <c r="E59" i="10" s="1"/>
  <c r="F59" i="10" s="1"/>
  <c r="D63" i="10"/>
  <c r="E63" i="10" s="1"/>
  <c r="F63" i="10" s="1"/>
  <c r="D67" i="10"/>
  <c r="E67" i="10" s="1"/>
  <c r="F67" i="10" s="1"/>
  <c r="D71" i="10"/>
  <c r="E71" i="10" s="1"/>
  <c r="F71" i="10" s="1"/>
  <c r="D75" i="10"/>
  <c r="E75" i="10" s="1"/>
  <c r="F75" i="10" s="1"/>
  <c r="D79" i="10"/>
  <c r="E79" i="10" s="1"/>
  <c r="F79" i="10" s="1"/>
  <c r="D83" i="10"/>
  <c r="E83" i="10" s="1"/>
  <c r="F83" i="10" s="1"/>
  <c r="D87" i="10"/>
  <c r="E87" i="10" s="1"/>
  <c r="F87" i="10" s="1"/>
  <c r="D91" i="10"/>
  <c r="E91" i="10" s="1"/>
  <c r="F91" i="10" s="1"/>
  <c r="D95" i="10"/>
  <c r="E95" i="10" s="1"/>
  <c r="F95" i="10" s="1"/>
  <c r="D99" i="10"/>
  <c r="E99" i="10" s="1"/>
  <c r="F99" i="10" s="1"/>
  <c r="D103" i="10"/>
  <c r="E103" i="10" s="1"/>
  <c r="F103" i="10" s="1"/>
  <c r="D107" i="10"/>
  <c r="E107" i="10" s="1"/>
  <c r="F107" i="10" s="1"/>
  <c r="D111" i="10"/>
  <c r="E111" i="10" s="1"/>
  <c r="F111" i="10" s="1"/>
  <c r="D115" i="10"/>
  <c r="E115" i="10" s="1"/>
  <c r="F115" i="10" s="1"/>
  <c r="D119" i="10"/>
  <c r="E119" i="10" s="1"/>
  <c r="F119" i="10" s="1"/>
  <c r="D123" i="10"/>
  <c r="E123" i="10" s="1"/>
  <c r="F123" i="10" s="1"/>
  <c r="D127" i="10"/>
  <c r="E127" i="10" s="1"/>
  <c r="F127" i="10" s="1"/>
  <c r="D131" i="10"/>
  <c r="E131" i="10" s="1"/>
  <c r="F131" i="10" s="1"/>
  <c r="D135" i="10"/>
  <c r="E135" i="10" s="1"/>
  <c r="F135" i="10" s="1"/>
  <c r="D139" i="10"/>
  <c r="E139" i="10" s="1"/>
  <c r="F139" i="10" s="1"/>
  <c r="D143" i="10"/>
  <c r="E143" i="10" s="1"/>
  <c r="F143" i="10" s="1"/>
  <c r="D147" i="10"/>
  <c r="E147" i="10" s="1"/>
  <c r="F147" i="10" s="1"/>
  <c r="D151" i="10"/>
  <c r="E151" i="10" s="1"/>
  <c r="F151" i="10" s="1"/>
  <c r="D155" i="10"/>
  <c r="E155" i="10" s="1"/>
  <c r="F155" i="10" s="1"/>
  <c r="D159" i="10"/>
  <c r="E159" i="10" s="1"/>
  <c r="F159" i="10" s="1"/>
  <c r="D163" i="10"/>
  <c r="E163" i="10" s="1"/>
  <c r="F163" i="10" s="1"/>
  <c r="D167" i="10"/>
  <c r="E167" i="10" s="1"/>
  <c r="F167" i="10" s="1"/>
  <c r="D171" i="10"/>
  <c r="E171" i="10" s="1"/>
  <c r="F171" i="10" s="1"/>
  <c r="D175" i="10"/>
  <c r="E175" i="10" s="1"/>
  <c r="F175" i="10" s="1"/>
  <c r="D179" i="10"/>
  <c r="E179" i="10" s="1"/>
  <c r="F179" i="10" s="1"/>
  <c r="D8" i="10"/>
  <c r="E8" i="10" s="1"/>
  <c r="F8" i="10" s="1"/>
  <c r="D12" i="10"/>
  <c r="E12" i="10" s="1"/>
  <c r="F12" i="10" s="1"/>
  <c r="D16" i="10"/>
  <c r="E16" i="10" s="1"/>
  <c r="F16" i="10" s="1"/>
  <c r="D20" i="10"/>
  <c r="E20" i="10" s="1"/>
  <c r="F20" i="10" s="1"/>
  <c r="D24" i="10"/>
  <c r="E24" i="10" s="1"/>
  <c r="F24" i="10" s="1"/>
  <c r="D28" i="10"/>
  <c r="E28" i="10" s="1"/>
  <c r="F28" i="10" s="1"/>
  <c r="D32" i="10"/>
  <c r="E32" i="10" s="1"/>
  <c r="F32" i="10" s="1"/>
  <c r="D36" i="10"/>
  <c r="E36" i="10" s="1"/>
  <c r="F36" i="10" s="1"/>
  <c r="D40" i="10"/>
  <c r="E40" i="10" s="1"/>
  <c r="F40" i="10" s="1"/>
  <c r="D44" i="10"/>
  <c r="E44" i="10" s="1"/>
  <c r="F44" i="10" s="1"/>
  <c r="D48" i="10"/>
  <c r="E48" i="10" s="1"/>
  <c r="F48" i="10" s="1"/>
  <c r="D52" i="10"/>
  <c r="E52" i="10" s="1"/>
  <c r="F52" i="10" s="1"/>
  <c r="D56" i="10"/>
  <c r="E56" i="10" s="1"/>
  <c r="F56" i="10" s="1"/>
  <c r="D60" i="10"/>
  <c r="E60" i="10" s="1"/>
  <c r="F60" i="10" s="1"/>
  <c r="D64" i="10"/>
  <c r="E64" i="10" s="1"/>
  <c r="F64" i="10" s="1"/>
  <c r="D68" i="10"/>
  <c r="E68" i="10" s="1"/>
  <c r="F68" i="10" s="1"/>
  <c r="D72" i="10"/>
  <c r="E72" i="10" s="1"/>
  <c r="F72" i="10" s="1"/>
  <c r="D76" i="10"/>
  <c r="E76" i="10" s="1"/>
  <c r="F76" i="10" s="1"/>
  <c r="D5" i="10"/>
  <c r="E5" i="10" s="1"/>
  <c r="D198" i="10"/>
  <c r="E198" i="10" s="1"/>
  <c r="F198" i="10" s="1"/>
  <c r="D194" i="10"/>
  <c r="E194" i="10" s="1"/>
  <c r="F194" i="10" s="1"/>
  <c r="D190" i="10"/>
  <c r="E190" i="10" s="1"/>
  <c r="F190" i="10" s="1"/>
  <c r="D186" i="10"/>
  <c r="E186" i="10" s="1"/>
  <c r="F186" i="10" s="1"/>
  <c r="D182" i="10"/>
  <c r="E182" i="10" s="1"/>
  <c r="F182" i="10" s="1"/>
  <c r="D177" i="10"/>
  <c r="E177" i="10" s="1"/>
  <c r="F177" i="10" s="1"/>
  <c r="D172" i="10"/>
  <c r="E172" i="10" s="1"/>
  <c r="F172" i="10" s="1"/>
  <c r="D166" i="10"/>
  <c r="E166" i="10" s="1"/>
  <c r="F166" i="10" s="1"/>
  <c r="D161" i="10"/>
  <c r="E161" i="10" s="1"/>
  <c r="F161" i="10" s="1"/>
  <c r="D156" i="10"/>
  <c r="E156" i="10" s="1"/>
  <c r="F156" i="10" s="1"/>
  <c r="D150" i="10"/>
  <c r="E150" i="10" s="1"/>
  <c r="F150" i="10" s="1"/>
  <c r="D145" i="10"/>
  <c r="E145" i="10" s="1"/>
  <c r="F145" i="10" s="1"/>
  <c r="D140" i="10"/>
  <c r="E140" i="10" s="1"/>
  <c r="F140" i="10" s="1"/>
  <c r="D134" i="10"/>
  <c r="E134" i="10" s="1"/>
  <c r="F134" i="10" s="1"/>
  <c r="D129" i="10"/>
  <c r="E129" i="10" s="1"/>
  <c r="F129" i="10" s="1"/>
  <c r="D124" i="10"/>
  <c r="E124" i="10" s="1"/>
  <c r="F124" i="10" s="1"/>
  <c r="D118" i="10"/>
  <c r="E118" i="10" s="1"/>
  <c r="F118" i="10" s="1"/>
  <c r="D113" i="10"/>
  <c r="E113" i="10" s="1"/>
  <c r="F113" i="10" s="1"/>
  <c r="D108" i="10"/>
  <c r="E108" i="10" s="1"/>
  <c r="F108" i="10" s="1"/>
  <c r="D102" i="10"/>
  <c r="E102" i="10" s="1"/>
  <c r="F102" i="10" s="1"/>
  <c r="D97" i="10"/>
  <c r="E97" i="10" s="1"/>
  <c r="F97" i="10" s="1"/>
  <c r="D92" i="10"/>
  <c r="E92" i="10" s="1"/>
  <c r="F92" i="10" s="1"/>
  <c r="D86" i="10"/>
  <c r="E86" i="10" s="1"/>
  <c r="F86" i="10" s="1"/>
  <c r="D81" i="10"/>
  <c r="E81" i="10" s="1"/>
  <c r="F81" i="10" s="1"/>
  <c r="D74" i="10"/>
  <c r="E74" i="10" s="1"/>
  <c r="F74" i="10" s="1"/>
  <c r="D66" i="10"/>
  <c r="E66" i="10" s="1"/>
  <c r="F66" i="10" s="1"/>
  <c r="D58" i="10"/>
  <c r="E58" i="10" s="1"/>
  <c r="F58" i="10" s="1"/>
  <c r="D50" i="10"/>
  <c r="E50" i="10" s="1"/>
  <c r="F50" i="10" s="1"/>
  <c r="D42" i="10"/>
  <c r="E42" i="10" s="1"/>
  <c r="F42" i="10" s="1"/>
  <c r="D34" i="10"/>
  <c r="E34" i="10" s="1"/>
  <c r="F34" i="10" s="1"/>
  <c r="D26" i="10"/>
  <c r="E26" i="10" s="1"/>
  <c r="F26" i="10" s="1"/>
  <c r="D18" i="10"/>
  <c r="E18" i="10" s="1"/>
  <c r="F18" i="10" s="1"/>
  <c r="D10" i="10"/>
  <c r="E10" i="10" s="1"/>
  <c r="F10" i="10" s="1"/>
  <c r="J5" i="10" l="1"/>
  <c r="L213" i="10" s="1"/>
  <c r="M213" i="10" s="1"/>
  <c r="K213" i="10"/>
  <c r="O213" i="10" s="1"/>
  <c r="F5" i="10"/>
  <c r="K212" i="10"/>
  <c r="O212" i="10" s="1"/>
  <c r="C214" i="10"/>
  <c r="L202" i="10" s="1"/>
  <c r="E214" i="10"/>
  <c r="I214" i="10"/>
  <c r="D214" i="10"/>
  <c r="H214" i="10"/>
  <c r="G214" i="10"/>
  <c r="L8" i="10" l="1"/>
  <c r="M8" i="10" s="1"/>
  <c r="N8" i="10" s="1"/>
  <c r="L12" i="10"/>
  <c r="M12" i="10" s="1"/>
  <c r="N12" i="10" s="1"/>
  <c r="L16" i="10"/>
  <c r="M16" i="10" s="1"/>
  <c r="N16" i="10" s="1"/>
  <c r="L20" i="10"/>
  <c r="M20" i="10" s="1"/>
  <c r="N20" i="10" s="1"/>
  <c r="L24" i="10"/>
  <c r="M24" i="10" s="1"/>
  <c r="N24" i="10" s="1"/>
  <c r="L28" i="10"/>
  <c r="M28" i="10" s="1"/>
  <c r="N28" i="10" s="1"/>
  <c r="L32" i="10"/>
  <c r="M32" i="10" s="1"/>
  <c r="N32" i="10" s="1"/>
  <c r="L36" i="10"/>
  <c r="M36" i="10" s="1"/>
  <c r="N36" i="10" s="1"/>
  <c r="L40" i="10"/>
  <c r="M40" i="10" s="1"/>
  <c r="N40" i="10" s="1"/>
  <c r="L44" i="10"/>
  <c r="M44" i="10" s="1"/>
  <c r="N44" i="10" s="1"/>
  <c r="L48" i="10"/>
  <c r="M48" i="10" s="1"/>
  <c r="N48" i="10" s="1"/>
  <c r="L52" i="10"/>
  <c r="M52" i="10" s="1"/>
  <c r="N52" i="10" s="1"/>
  <c r="L56" i="10"/>
  <c r="M56" i="10" s="1"/>
  <c r="N56" i="10" s="1"/>
  <c r="L60" i="10"/>
  <c r="M60" i="10" s="1"/>
  <c r="N60" i="10" s="1"/>
  <c r="L64" i="10"/>
  <c r="M64" i="10" s="1"/>
  <c r="N64" i="10" s="1"/>
  <c r="L68" i="10"/>
  <c r="M68" i="10" s="1"/>
  <c r="N68" i="10" s="1"/>
  <c r="L72" i="10"/>
  <c r="M72" i="10" s="1"/>
  <c r="N72" i="10" s="1"/>
  <c r="L76" i="10"/>
  <c r="M76" i="10" s="1"/>
  <c r="N76" i="10" s="1"/>
  <c r="L80" i="10"/>
  <c r="M80" i="10" s="1"/>
  <c r="N80" i="10" s="1"/>
  <c r="L84" i="10"/>
  <c r="M84" i="10" s="1"/>
  <c r="N84" i="10" s="1"/>
  <c r="L88" i="10"/>
  <c r="M88" i="10" s="1"/>
  <c r="N88" i="10" s="1"/>
  <c r="L92" i="10"/>
  <c r="M92" i="10" s="1"/>
  <c r="N92" i="10" s="1"/>
  <c r="L96" i="10"/>
  <c r="M96" i="10" s="1"/>
  <c r="N96" i="10" s="1"/>
  <c r="L100" i="10"/>
  <c r="M100" i="10" s="1"/>
  <c r="N100" i="10" s="1"/>
  <c r="L104" i="10"/>
  <c r="M104" i="10" s="1"/>
  <c r="N104" i="10" s="1"/>
  <c r="L108" i="10"/>
  <c r="M108" i="10" s="1"/>
  <c r="N108" i="10" s="1"/>
  <c r="L112" i="10"/>
  <c r="M112" i="10" s="1"/>
  <c r="N112" i="10" s="1"/>
  <c r="L116" i="10"/>
  <c r="M116" i="10" s="1"/>
  <c r="N116" i="10" s="1"/>
  <c r="L120" i="10"/>
  <c r="M120" i="10" s="1"/>
  <c r="N120" i="10" s="1"/>
  <c r="L124" i="10"/>
  <c r="M124" i="10" s="1"/>
  <c r="N124" i="10" s="1"/>
  <c r="L128" i="10"/>
  <c r="M128" i="10" s="1"/>
  <c r="N128" i="10" s="1"/>
  <c r="L132" i="10"/>
  <c r="M132" i="10" s="1"/>
  <c r="N132" i="10" s="1"/>
  <c r="L136" i="10"/>
  <c r="M136" i="10" s="1"/>
  <c r="N136" i="10" s="1"/>
  <c r="L140" i="10"/>
  <c r="M140" i="10" s="1"/>
  <c r="N140" i="10" s="1"/>
  <c r="L144" i="10"/>
  <c r="M144" i="10" s="1"/>
  <c r="N144" i="10" s="1"/>
  <c r="L148" i="10"/>
  <c r="M148" i="10" s="1"/>
  <c r="N148" i="10" s="1"/>
  <c r="L152" i="10"/>
  <c r="M152" i="10" s="1"/>
  <c r="N152" i="10" s="1"/>
  <c r="L156" i="10"/>
  <c r="M156" i="10" s="1"/>
  <c r="N156" i="10" s="1"/>
  <c r="L160" i="10"/>
  <c r="M160" i="10" s="1"/>
  <c r="N160" i="10" s="1"/>
  <c r="L164" i="10"/>
  <c r="M164" i="10" s="1"/>
  <c r="N164" i="10" s="1"/>
  <c r="L168" i="10"/>
  <c r="M168" i="10" s="1"/>
  <c r="N168" i="10" s="1"/>
  <c r="L172" i="10"/>
  <c r="M172" i="10" s="1"/>
  <c r="N172" i="10" s="1"/>
  <c r="L176" i="10"/>
  <c r="M176" i="10" s="1"/>
  <c r="N176" i="10" s="1"/>
  <c r="L180" i="10"/>
  <c r="M180" i="10" s="1"/>
  <c r="N180" i="10" s="1"/>
  <c r="L184" i="10"/>
  <c r="M184" i="10" s="1"/>
  <c r="N184" i="10" s="1"/>
  <c r="L188" i="10"/>
  <c r="M188" i="10" s="1"/>
  <c r="N188" i="10" s="1"/>
  <c r="L192" i="10"/>
  <c r="M192" i="10" s="1"/>
  <c r="N192" i="10" s="1"/>
  <c r="L196" i="10"/>
  <c r="M196" i="10" s="1"/>
  <c r="N196" i="10" s="1"/>
  <c r="L200" i="10"/>
  <c r="M200" i="10" s="1"/>
  <c r="N200" i="10" s="1"/>
  <c r="L9" i="10"/>
  <c r="M9" i="10" s="1"/>
  <c r="N9" i="10" s="1"/>
  <c r="L13" i="10"/>
  <c r="M13" i="10" s="1"/>
  <c r="N13" i="10" s="1"/>
  <c r="L17" i="10"/>
  <c r="M17" i="10" s="1"/>
  <c r="N17" i="10" s="1"/>
  <c r="L21" i="10"/>
  <c r="M21" i="10" s="1"/>
  <c r="N21" i="10" s="1"/>
  <c r="L25" i="10"/>
  <c r="M25" i="10" s="1"/>
  <c r="N25" i="10" s="1"/>
  <c r="L29" i="10"/>
  <c r="M29" i="10" s="1"/>
  <c r="N29" i="10" s="1"/>
  <c r="L33" i="10"/>
  <c r="M33" i="10" s="1"/>
  <c r="N33" i="10" s="1"/>
  <c r="L37" i="10"/>
  <c r="M37" i="10" s="1"/>
  <c r="N37" i="10" s="1"/>
  <c r="L41" i="10"/>
  <c r="M41" i="10" s="1"/>
  <c r="N41" i="10" s="1"/>
  <c r="L45" i="10"/>
  <c r="M45" i="10" s="1"/>
  <c r="N45" i="10" s="1"/>
  <c r="L49" i="10"/>
  <c r="M49" i="10" s="1"/>
  <c r="N49" i="10" s="1"/>
  <c r="L53" i="10"/>
  <c r="M53" i="10" s="1"/>
  <c r="N53" i="10" s="1"/>
  <c r="L57" i="10"/>
  <c r="M57" i="10" s="1"/>
  <c r="N57" i="10" s="1"/>
  <c r="L61" i="10"/>
  <c r="M61" i="10" s="1"/>
  <c r="N61" i="10" s="1"/>
  <c r="L65" i="10"/>
  <c r="M65" i="10" s="1"/>
  <c r="N65" i="10" s="1"/>
  <c r="L69" i="10"/>
  <c r="M69" i="10" s="1"/>
  <c r="N69" i="10" s="1"/>
  <c r="L73" i="10"/>
  <c r="M73" i="10" s="1"/>
  <c r="N73" i="10" s="1"/>
  <c r="L77" i="10"/>
  <c r="M77" i="10" s="1"/>
  <c r="N77" i="10" s="1"/>
  <c r="L81" i="10"/>
  <c r="M81" i="10" s="1"/>
  <c r="N81" i="10" s="1"/>
  <c r="L85" i="10"/>
  <c r="M85" i="10" s="1"/>
  <c r="N85" i="10" s="1"/>
  <c r="L89" i="10"/>
  <c r="M89" i="10" s="1"/>
  <c r="N89" i="10" s="1"/>
  <c r="L93" i="10"/>
  <c r="M93" i="10" s="1"/>
  <c r="N93" i="10" s="1"/>
  <c r="L97" i="10"/>
  <c r="M97" i="10" s="1"/>
  <c r="N97" i="10" s="1"/>
  <c r="L101" i="10"/>
  <c r="M101" i="10" s="1"/>
  <c r="N101" i="10" s="1"/>
  <c r="L105" i="10"/>
  <c r="M105" i="10" s="1"/>
  <c r="N105" i="10" s="1"/>
  <c r="L109" i="10"/>
  <c r="M109" i="10" s="1"/>
  <c r="N109" i="10" s="1"/>
  <c r="L113" i="10"/>
  <c r="M113" i="10" s="1"/>
  <c r="N113" i="10" s="1"/>
  <c r="L117" i="10"/>
  <c r="M117" i="10" s="1"/>
  <c r="N117" i="10" s="1"/>
  <c r="L121" i="10"/>
  <c r="M121" i="10" s="1"/>
  <c r="N121" i="10" s="1"/>
  <c r="L125" i="10"/>
  <c r="M125" i="10" s="1"/>
  <c r="N125" i="10" s="1"/>
  <c r="L6" i="10"/>
  <c r="M6" i="10" s="1"/>
  <c r="N6" i="10" s="1"/>
  <c r="L10" i="10"/>
  <c r="M10" i="10" s="1"/>
  <c r="N10" i="10" s="1"/>
  <c r="L14" i="10"/>
  <c r="M14" i="10" s="1"/>
  <c r="N14" i="10" s="1"/>
  <c r="L18" i="10"/>
  <c r="M18" i="10" s="1"/>
  <c r="N18" i="10" s="1"/>
  <c r="L22" i="10"/>
  <c r="M22" i="10" s="1"/>
  <c r="N22" i="10" s="1"/>
  <c r="L26" i="10"/>
  <c r="M26" i="10" s="1"/>
  <c r="N26" i="10" s="1"/>
  <c r="L30" i="10"/>
  <c r="M30" i="10" s="1"/>
  <c r="N30" i="10" s="1"/>
  <c r="L34" i="10"/>
  <c r="M34" i="10" s="1"/>
  <c r="N34" i="10" s="1"/>
  <c r="L38" i="10"/>
  <c r="M38" i="10" s="1"/>
  <c r="N38" i="10" s="1"/>
  <c r="L42" i="10"/>
  <c r="M42" i="10" s="1"/>
  <c r="N42" i="10" s="1"/>
  <c r="L46" i="10"/>
  <c r="M46" i="10" s="1"/>
  <c r="N46" i="10" s="1"/>
  <c r="L50" i="10"/>
  <c r="M50" i="10" s="1"/>
  <c r="N50" i="10" s="1"/>
  <c r="L54" i="10"/>
  <c r="M54" i="10" s="1"/>
  <c r="N54" i="10" s="1"/>
  <c r="L58" i="10"/>
  <c r="M58" i="10" s="1"/>
  <c r="N58" i="10" s="1"/>
  <c r="L62" i="10"/>
  <c r="M62" i="10" s="1"/>
  <c r="N62" i="10" s="1"/>
  <c r="L66" i="10"/>
  <c r="M66" i="10" s="1"/>
  <c r="N66" i="10" s="1"/>
  <c r="L70" i="10"/>
  <c r="M70" i="10" s="1"/>
  <c r="N70" i="10" s="1"/>
  <c r="L74" i="10"/>
  <c r="M74" i="10" s="1"/>
  <c r="N74" i="10" s="1"/>
  <c r="L78" i="10"/>
  <c r="M78" i="10" s="1"/>
  <c r="N78" i="10" s="1"/>
  <c r="L82" i="10"/>
  <c r="M82" i="10" s="1"/>
  <c r="N82" i="10" s="1"/>
  <c r="L86" i="10"/>
  <c r="M86" i="10" s="1"/>
  <c r="N86" i="10" s="1"/>
  <c r="L90" i="10"/>
  <c r="M90" i="10" s="1"/>
  <c r="N90" i="10" s="1"/>
  <c r="L94" i="10"/>
  <c r="M94" i="10" s="1"/>
  <c r="N94" i="10" s="1"/>
  <c r="L98" i="10"/>
  <c r="M98" i="10" s="1"/>
  <c r="N98" i="10" s="1"/>
  <c r="L102" i="10"/>
  <c r="M102" i="10" s="1"/>
  <c r="N102" i="10" s="1"/>
  <c r="L106" i="10"/>
  <c r="M106" i="10" s="1"/>
  <c r="N106" i="10" s="1"/>
  <c r="L110" i="10"/>
  <c r="M110" i="10" s="1"/>
  <c r="N110" i="10" s="1"/>
  <c r="L114" i="10"/>
  <c r="M114" i="10" s="1"/>
  <c r="N114" i="10" s="1"/>
  <c r="L118" i="10"/>
  <c r="M118" i="10" s="1"/>
  <c r="N118" i="10" s="1"/>
  <c r="L122" i="10"/>
  <c r="M122" i="10" s="1"/>
  <c r="N122" i="10" s="1"/>
  <c r="L126" i="10"/>
  <c r="M126" i="10" s="1"/>
  <c r="N126" i="10" s="1"/>
  <c r="L130" i="10"/>
  <c r="M130" i="10" s="1"/>
  <c r="N130" i="10" s="1"/>
  <c r="L134" i="10"/>
  <c r="M134" i="10" s="1"/>
  <c r="N134" i="10" s="1"/>
  <c r="L138" i="10"/>
  <c r="M138" i="10" s="1"/>
  <c r="N138" i="10" s="1"/>
  <c r="L142" i="10"/>
  <c r="M142" i="10" s="1"/>
  <c r="N142" i="10" s="1"/>
  <c r="L146" i="10"/>
  <c r="M146" i="10" s="1"/>
  <c r="N146" i="10" s="1"/>
  <c r="L150" i="10"/>
  <c r="M150" i="10" s="1"/>
  <c r="N150" i="10" s="1"/>
  <c r="L154" i="10"/>
  <c r="M154" i="10" s="1"/>
  <c r="N154" i="10" s="1"/>
  <c r="L158" i="10"/>
  <c r="M158" i="10" s="1"/>
  <c r="N158" i="10" s="1"/>
  <c r="L162" i="10"/>
  <c r="M162" i="10" s="1"/>
  <c r="N162" i="10" s="1"/>
  <c r="L166" i="10"/>
  <c r="M166" i="10" s="1"/>
  <c r="N166" i="10" s="1"/>
  <c r="L170" i="10"/>
  <c r="M170" i="10" s="1"/>
  <c r="N170" i="10" s="1"/>
  <c r="L174" i="10"/>
  <c r="M174" i="10" s="1"/>
  <c r="N174" i="10" s="1"/>
  <c r="L178" i="10"/>
  <c r="M178" i="10" s="1"/>
  <c r="N178" i="10" s="1"/>
  <c r="L182" i="10"/>
  <c r="M182" i="10" s="1"/>
  <c r="N182" i="10" s="1"/>
  <c r="L186" i="10"/>
  <c r="M186" i="10" s="1"/>
  <c r="N186" i="10" s="1"/>
  <c r="L190" i="10"/>
  <c r="M190" i="10" s="1"/>
  <c r="N190" i="10" s="1"/>
  <c r="L194" i="10"/>
  <c r="M194" i="10" s="1"/>
  <c r="N194" i="10" s="1"/>
  <c r="L198" i="10"/>
  <c r="M198" i="10" s="1"/>
  <c r="N198" i="10" s="1"/>
  <c r="M202" i="10"/>
  <c r="N202" i="10" s="1"/>
  <c r="L129" i="10"/>
  <c r="M129" i="10" s="1"/>
  <c r="N129" i="10" s="1"/>
  <c r="L133" i="10"/>
  <c r="M133" i="10" s="1"/>
  <c r="N133" i="10" s="1"/>
  <c r="L137" i="10"/>
  <c r="M137" i="10" s="1"/>
  <c r="N137" i="10" s="1"/>
  <c r="L141" i="10"/>
  <c r="M141" i="10" s="1"/>
  <c r="N141" i="10" s="1"/>
  <c r="L145" i="10"/>
  <c r="M145" i="10" s="1"/>
  <c r="N145" i="10" s="1"/>
  <c r="L149" i="10"/>
  <c r="M149" i="10" s="1"/>
  <c r="N149" i="10" s="1"/>
  <c r="L153" i="10"/>
  <c r="M153" i="10" s="1"/>
  <c r="N153" i="10" s="1"/>
  <c r="L157" i="10"/>
  <c r="M157" i="10" s="1"/>
  <c r="N157" i="10" s="1"/>
  <c r="L161" i="10"/>
  <c r="M161" i="10" s="1"/>
  <c r="N161" i="10" s="1"/>
  <c r="L165" i="10"/>
  <c r="M165" i="10" s="1"/>
  <c r="N165" i="10" s="1"/>
  <c r="L169" i="10"/>
  <c r="M169" i="10" s="1"/>
  <c r="N169" i="10" s="1"/>
  <c r="L173" i="10"/>
  <c r="M173" i="10" s="1"/>
  <c r="N173" i="10" s="1"/>
  <c r="L177" i="10"/>
  <c r="M177" i="10" s="1"/>
  <c r="N177" i="10" s="1"/>
  <c r="L181" i="10"/>
  <c r="M181" i="10" s="1"/>
  <c r="N181" i="10" s="1"/>
  <c r="L185" i="10"/>
  <c r="M185" i="10" s="1"/>
  <c r="N185" i="10" s="1"/>
  <c r="L189" i="10"/>
  <c r="M189" i="10" s="1"/>
  <c r="N189" i="10" s="1"/>
  <c r="L193" i="10"/>
  <c r="M193" i="10" s="1"/>
  <c r="N193" i="10" s="1"/>
  <c r="L197" i="10"/>
  <c r="M197" i="10" s="1"/>
  <c r="N197" i="10" s="1"/>
  <c r="L201" i="10"/>
  <c r="M201" i="10" s="1"/>
  <c r="N201" i="10" s="1"/>
  <c r="L7" i="10"/>
  <c r="M7" i="10" s="1"/>
  <c r="N7" i="10" s="1"/>
  <c r="L11" i="10"/>
  <c r="M11" i="10" s="1"/>
  <c r="N11" i="10" s="1"/>
  <c r="L15" i="10"/>
  <c r="M15" i="10" s="1"/>
  <c r="N15" i="10" s="1"/>
  <c r="L19" i="10"/>
  <c r="M19" i="10" s="1"/>
  <c r="N19" i="10" s="1"/>
  <c r="L23" i="10"/>
  <c r="M23" i="10" s="1"/>
  <c r="N23" i="10" s="1"/>
  <c r="L27" i="10"/>
  <c r="M27" i="10" s="1"/>
  <c r="N27" i="10" s="1"/>
  <c r="L31" i="10"/>
  <c r="M31" i="10" s="1"/>
  <c r="N31" i="10" s="1"/>
  <c r="L35" i="10"/>
  <c r="M35" i="10" s="1"/>
  <c r="N35" i="10" s="1"/>
  <c r="L39" i="10"/>
  <c r="M39" i="10" s="1"/>
  <c r="N39" i="10" s="1"/>
  <c r="L43" i="10"/>
  <c r="M43" i="10" s="1"/>
  <c r="N43" i="10" s="1"/>
  <c r="L47" i="10"/>
  <c r="M47" i="10" s="1"/>
  <c r="N47" i="10" s="1"/>
  <c r="L51" i="10"/>
  <c r="M51" i="10" s="1"/>
  <c r="N51" i="10" s="1"/>
  <c r="L55" i="10"/>
  <c r="M55" i="10" s="1"/>
  <c r="N55" i="10" s="1"/>
  <c r="L59" i="10"/>
  <c r="M59" i="10" s="1"/>
  <c r="N59" i="10" s="1"/>
  <c r="L63" i="10"/>
  <c r="M63" i="10" s="1"/>
  <c r="N63" i="10" s="1"/>
  <c r="L67" i="10"/>
  <c r="M67" i="10" s="1"/>
  <c r="N67" i="10" s="1"/>
  <c r="L71" i="10"/>
  <c r="M71" i="10" s="1"/>
  <c r="N71" i="10" s="1"/>
  <c r="L75" i="10"/>
  <c r="M75" i="10" s="1"/>
  <c r="N75" i="10" s="1"/>
  <c r="L79" i="10"/>
  <c r="M79" i="10" s="1"/>
  <c r="N79" i="10" s="1"/>
  <c r="L83" i="10"/>
  <c r="M83" i="10" s="1"/>
  <c r="N83" i="10" s="1"/>
  <c r="L87" i="10"/>
  <c r="M87" i="10" s="1"/>
  <c r="N87" i="10" s="1"/>
  <c r="L91" i="10"/>
  <c r="M91" i="10" s="1"/>
  <c r="N91" i="10" s="1"/>
  <c r="L95" i="10"/>
  <c r="M95" i="10" s="1"/>
  <c r="N95" i="10" s="1"/>
  <c r="L99" i="10"/>
  <c r="M99" i="10" s="1"/>
  <c r="N99" i="10" s="1"/>
  <c r="L103" i="10"/>
  <c r="M103" i="10" s="1"/>
  <c r="N103" i="10" s="1"/>
  <c r="L107" i="10"/>
  <c r="M107" i="10" s="1"/>
  <c r="N107" i="10" s="1"/>
  <c r="L111" i="10"/>
  <c r="M111" i="10" s="1"/>
  <c r="N111" i="10" s="1"/>
  <c r="L115" i="10"/>
  <c r="M115" i="10" s="1"/>
  <c r="N115" i="10" s="1"/>
  <c r="L119" i="10"/>
  <c r="M119" i="10" s="1"/>
  <c r="N119" i="10" s="1"/>
  <c r="L123" i="10"/>
  <c r="M123" i="10" s="1"/>
  <c r="N123" i="10" s="1"/>
  <c r="L127" i="10"/>
  <c r="M127" i="10" s="1"/>
  <c r="N127" i="10" s="1"/>
  <c r="L131" i="10"/>
  <c r="M131" i="10" s="1"/>
  <c r="N131" i="10" s="1"/>
  <c r="L135" i="10"/>
  <c r="M135" i="10" s="1"/>
  <c r="N135" i="10" s="1"/>
  <c r="L139" i="10"/>
  <c r="M139" i="10" s="1"/>
  <c r="N139" i="10" s="1"/>
  <c r="L143" i="10"/>
  <c r="M143" i="10" s="1"/>
  <c r="N143" i="10" s="1"/>
  <c r="L147" i="10"/>
  <c r="M147" i="10" s="1"/>
  <c r="N147" i="10" s="1"/>
  <c r="L151" i="10"/>
  <c r="M151" i="10" s="1"/>
  <c r="N151" i="10" s="1"/>
  <c r="L155" i="10"/>
  <c r="M155" i="10" s="1"/>
  <c r="N155" i="10" s="1"/>
  <c r="L159" i="10"/>
  <c r="M159" i="10" s="1"/>
  <c r="N159" i="10" s="1"/>
  <c r="L163" i="10"/>
  <c r="M163" i="10" s="1"/>
  <c r="N163" i="10" s="1"/>
  <c r="L167" i="10"/>
  <c r="M167" i="10" s="1"/>
  <c r="N167" i="10" s="1"/>
  <c r="L171" i="10"/>
  <c r="M171" i="10" s="1"/>
  <c r="N171" i="10" s="1"/>
  <c r="L175" i="10"/>
  <c r="M175" i="10" s="1"/>
  <c r="N175" i="10" s="1"/>
  <c r="L179" i="10"/>
  <c r="M179" i="10" s="1"/>
  <c r="N179" i="10" s="1"/>
  <c r="L183" i="10"/>
  <c r="M183" i="10" s="1"/>
  <c r="N183" i="10" s="1"/>
  <c r="L187" i="10"/>
  <c r="M187" i="10" s="1"/>
  <c r="N187" i="10" s="1"/>
  <c r="L191" i="10"/>
  <c r="M191" i="10" s="1"/>
  <c r="N191" i="10" s="1"/>
  <c r="L195" i="10"/>
  <c r="M195" i="10" s="1"/>
  <c r="N195" i="10" s="1"/>
  <c r="L199" i="10"/>
  <c r="M199" i="10" s="1"/>
  <c r="N199" i="10" s="1"/>
  <c r="L5" i="10"/>
  <c r="M5" i="10" s="1"/>
  <c r="F214" i="10"/>
  <c r="N214" i="10" s="1"/>
  <c r="L212" i="10"/>
  <c r="M212" i="10" s="1"/>
  <c r="I215" i="10"/>
  <c r="H215" i="10"/>
  <c r="G215" i="10"/>
  <c r="D215" i="10"/>
  <c r="E215" i="10"/>
  <c r="C215" i="10"/>
  <c r="P7" i="10" l="1"/>
  <c r="Q7" i="10" s="1"/>
  <c r="R7" i="10" s="1"/>
  <c r="P11" i="10"/>
  <c r="Q11" i="10" s="1"/>
  <c r="R11" i="10" s="1"/>
  <c r="P15" i="10"/>
  <c r="Q15" i="10" s="1"/>
  <c r="R15" i="10" s="1"/>
  <c r="P19" i="10"/>
  <c r="Q19" i="10" s="1"/>
  <c r="R19" i="10" s="1"/>
  <c r="P23" i="10"/>
  <c r="Q23" i="10" s="1"/>
  <c r="R23" i="10" s="1"/>
  <c r="P27" i="10"/>
  <c r="Q27" i="10" s="1"/>
  <c r="R27" i="10" s="1"/>
  <c r="P31" i="10"/>
  <c r="Q31" i="10" s="1"/>
  <c r="R31" i="10" s="1"/>
  <c r="P35" i="10"/>
  <c r="Q35" i="10" s="1"/>
  <c r="R35" i="10" s="1"/>
  <c r="P39" i="10"/>
  <c r="Q39" i="10" s="1"/>
  <c r="R39" i="10" s="1"/>
  <c r="P43" i="10"/>
  <c r="Q43" i="10" s="1"/>
  <c r="R43" i="10" s="1"/>
  <c r="P47" i="10"/>
  <c r="Q47" i="10" s="1"/>
  <c r="R47" i="10" s="1"/>
  <c r="P51" i="10"/>
  <c r="Q51" i="10" s="1"/>
  <c r="R51" i="10" s="1"/>
  <c r="P55" i="10"/>
  <c r="Q55" i="10" s="1"/>
  <c r="R55" i="10" s="1"/>
  <c r="P59" i="10"/>
  <c r="Q59" i="10" s="1"/>
  <c r="R59" i="10" s="1"/>
  <c r="P63" i="10"/>
  <c r="Q63" i="10" s="1"/>
  <c r="R63" i="10" s="1"/>
  <c r="P67" i="10"/>
  <c r="Q67" i="10" s="1"/>
  <c r="R67" i="10" s="1"/>
  <c r="P71" i="10"/>
  <c r="Q71" i="10" s="1"/>
  <c r="R71" i="10" s="1"/>
  <c r="P75" i="10"/>
  <c r="Q75" i="10" s="1"/>
  <c r="R75" i="10" s="1"/>
  <c r="P79" i="10"/>
  <c r="Q79" i="10" s="1"/>
  <c r="R79" i="10" s="1"/>
  <c r="P83" i="10"/>
  <c r="Q83" i="10" s="1"/>
  <c r="R83" i="10" s="1"/>
  <c r="P87" i="10"/>
  <c r="Q87" i="10" s="1"/>
  <c r="R87" i="10" s="1"/>
  <c r="P91" i="10"/>
  <c r="Q91" i="10" s="1"/>
  <c r="R91" i="10" s="1"/>
  <c r="P95" i="10"/>
  <c r="Q95" i="10" s="1"/>
  <c r="R95" i="10" s="1"/>
  <c r="P99" i="10"/>
  <c r="Q99" i="10" s="1"/>
  <c r="R99" i="10" s="1"/>
  <c r="P103" i="10"/>
  <c r="Q103" i="10" s="1"/>
  <c r="R103" i="10" s="1"/>
  <c r="P107" i="10"/>
  <c r="Q107" i="10" s="1"/>
  <c r="R107" i="10" s="1"/>
  <c r="P111" i="10"/>
  <c r="Q111" i="10" s="1"/>
  <c r="R111" i="10" s="1"/>
  <c r="P115" i="10"/>
  <c r="Q115" i="10" s="1"/>
  <c r="R115" i="10" s="1"/>
  <c r="P119" i="10"/>
  <c r="Q119" i="10" s="1"/>
  <c r="R119" i="10" s="1"/>
  <c r="P123" i="10"/>
  <c r="Q123" i="10" s="1"/>
  <c r="R123" i="10" s="1"/>
  <c r="P127" i="10"/>
  <c r="Q127" i="10" s="1"/>
  <c r="R127" i="10" s="1"/>
  <c r="P131" i="10"/>
  <c r="Q131" i="10" s="1"/>
  <c r="R131" i="10" s="1"/>
  <c r="P135" i="10"/>
  <c r="Q135" i="10" s="1"/>
  <c r="R135" i="10" s="1"/>
  <c r="P139" i="10"/>
  <c r="Q139" i="10" s="1"/>
  <c r="R139" i="10" s="1"/>
  <c r="P143" i="10"/>
  <c r="Q143" i="10" s="1"/>
  <c r="R143" i="10" s="1"/>
  <c r="P147" i="10"/>
  <c r="Q147" i="10" s="1"/>
  <c r="R147" i="10" s="1"/>
  <c r="P151" i="10"/>
  <c r="Q151" i="10" s="1"/>
  <c r="R151" i="10" s="1"/>
  <c r="P155" i="10"/>
  <c r="Q155" i="10" s="1"/>
  <c r="R155" i="10" s="1"/>
  <c r="P159" i="10"/>
  <c r="Q159" i="10" s="1"/>
  <c r="R159" i="10" s="1"/>
  <c r="P163" i="10"/>
  <c r="Q163" i="10" s="1"/>
  <c r="R163" i="10" s="1"/>
  <c r="P167" i="10"/>
  <c r="Q167" i="10" s="1"/>
  <c r="R167" i="10" s="1"/>
  <c r="P171" i="10"/>
  <c r="Q171" i="10" s="1"/>
  <c r="R171" i="10" s="1"/>
  <c r="P175" i="10"/>
  <c r="Q175" i="10" s="1"/>
  <c r="R175" i="10" s="1"/>
  <c r="P179" i="10"/>
  <c r="Q179" i="10" s="1"/>
  <c r="R179" i="10" s="1"/>
  <c r="P183" i="10"/>
  <c r="Q183" i="10" s="1"/>
  <c r="R183" i="10" s="1"/>
  <c r="P187" i="10"/>
  <c r="Q187" i="10" s="1"/>
  <c r="R187" i="10" s="1"/>
  <c r="P191" i="10"/>
  <c r="Q191" i="10" s="1"/>
  <c r="R191" i="10" s="1"/>
  <c r="P195" i="10"/>
  <c r="Q195" i="10" s="1"/>
  <c r="R195" i="10" s="1"/>
  <c r="P199" i="10"/>
  <c r="Q199" i="10" s="1"/>
  <c r="R199" i="10" s="1"/>
  <c r="P5" i="10"/>
  <c r="Q5" i="10" s="1"/>
  <c r="P8" i="10"/>
  <c r="Q8" i="10" s="1"/>
  <c r="R8" i="10" s="1"/>
  <c r="P12" i="10"/>
  <c r="Q12" i="10" s="1"/>
  <c r="R12" i="10" s="1"/>
  <c r="P16" i="10"/>
  <c r="Q16" i="10" s="1"/>
  <c r="R16" i="10" s="1"/>
  <c r="P20" i="10"/>
  <c r="Q20" i="10" s="1"/>
  <c r="R20" i="10" s="1"/>
  <c r="P24" i="10"/>
  <c r="Q24" i="10" s="1"/>
  <c r="R24" i="10" s="1"/>
  <c r="P28" i="10"/>
  <c r="Q28" i="10" s="1"/>
  <c r="R28" i="10" s="1"/>
  <c r="P32" i="10"/>
  <c r="Q32" i="10" s="1"/>
  <c r="R32" i="10" s="1"/>
  <c r="P36" i="10"/>
  <c r="Q36" i="10" s="1"/>
  <c r="R36" i="10" s="1"/>
  <c r="P40" i="10"/>
  <c r="Q40" i="10" s="1"/>
  <c r="R40" i="10" s="1"/>
  <c r="P44" i="10"/>
  <c r="Q44" i="10" s="1"/>
  <c r="R44" i="10" s="1"/>
  <c r="P48" i="10"/>
  <c r="Q48" i="10" s="1"/>
  <c r="R48" i="10" s="1"/>
  <c r="P52" i="10"/>
  <c r="Q52" i="10" s="1"/>
  <c r="R52" i="10" s="1"/>
  <c r="P56" i="10"/>
  <c r="Q56" i="10" s="1"/>
  <c r="R56" i="10" s="1"/>
  <c r="P60" i="10"/>
  <c r="Q60" i="10" s="1"/>
  <c r="R60" i="10" s="1"/>
  <c r="P64" i="10"/>
  <c r="Q64" i="10" s="1"/>
  <c r="R64" i="10" s="1"/>
  <c r="P68" i="10"/>
  <c r="Q68" i="10" s="1"/>
  <c r="R68" i="10" s="1"/>
  <c r="P72" i="10"/>
  <c r="Q72" i="10" s="1"/>
  <c r="R72" i="10" s="1"/>
  <c r="P76" i="10"/>
  <c r="Q76" i="10" s="1"/>
  <c r="R76" i="10" s="1"/>
  <c r="P80" i="10"/>
  <c r="Q80" i="10" s="1"/>
  <c r="R80" i="10" s="1"/>
  <c r="P84" i="10"/>
  <c r="Q84" i="10" s="1"/>
  <c r="R84" i="10" s="1"/>
  <c r="P88" i="10"/>
  <c r="Q88" i="10" s="1"/>
  <c r="R88" i="10" s="1"/>
  <c r="P92" i="10"/>
  <c r="Q92" i="10" s="1"/>
  <c r="R92" i="10" s="1"/>
  <c r="P96" i="10"/>
  <c r="Q96" i="10" s="1"/>
  <c r="R96" i="10" s="1"/>
  <c r="P100" i="10"/>
  <c r="Q100" i="10" s="1"/>
  <c r="R100" i="10" s="1"/>
  <c r="P104" i="10"/>
  <c r="Q104" i="10" s="1"/>
  <c r="R104" i="10" s="1"/>
  <c r="P108" i="10"/>
  <c r="Q108" i="10" s="1"/>
  <c r="R108" i="10" s="1"/>
  <c r="P112" i="10"/>
  <c r="Q112" i="10" s="1"/>
  <c r="R112" i="10" s="1"/>
  <c r="P116" i="10"/>
  <c r="Q116" i="10" s="1"/>
  <c r="R116" i="10" s="1"/>
  <c r="P120" i="10"/>
  <c r="Q120" i="10" s="1"/>
  <c r="R120" i="10" s="1"/>
  <c r="P124" i="10"/>
  <c r="Q124" i="10" s="1"/>
  <c r="R124" i="10" s="1"/>
  <c r="P128" i="10"/>
  <c r="Q128" i="10" s="1"/>
  <c r="R128" i="10" s="1"/>
  <c r="P132" i="10"/>
  <c r="Q132" i="10" s="1"/>
  <c r="R132" i="10" s="1"/>
  <c r="P136" i="10"/>
  <c r="Q136" i="10" s="1"/>
  <c r="R136" i="10" s="1"/>
  <c r="P140" i="10"/>
  <c r="Q140" i="10" s="1"/>
  <c r="R140" i="10" s="1"/>
  <c r="P144" i="10"/>
  <c r="Q144" i="10" s="1"/>
  <c r="R144" i="10" s="1"/>
  <c r="P148" i="10"/>
  <c r="Q148" i="10" s="1"/>
  <c r="R148" i="10" s="1"/>
  <c r="P152" i="10"/>
  <c r="Q152" i="10" s="1"/>
  <c r="R152" i="10" s="1"/>
  <c r="P156" i="10"/>
  <c r="Q156" i="10" s="1"/>
  <c r="R156" i="10" s="1"/>
  <c r="P160" i="10"/>
  <c r="Q160" i="10" s="1"/>
  <c r="R160" i="10" s="1"/>
  <c r="P164" i="10"/>
  <c r="Q164" i="10" s="1"/>
  <c r="R164" i="10" s="1"/>
  <c r="P168" i="10"/>
  <c r="Q168" i="10" s="1"/>
  <c r="R168" i="10" s="1"/>
  <c r="P172" i="10"/>
  <c r="Q172" i="10" s="1"/>
  <c r="R172" i="10" s="1"/>
  <c r="P176" i="10"/>
  <c r="Q176" i="10" s="1"/>
  <c r="R176" i="10" s="1"/>
  <c r="P180" i="10"/>
  <c r="Q180" i="10" s="1"/>
  <c r="R180" i="10" s="1"/>
  <c r="P184" i="10"/>
  <c r="Q184" i="10" s="1"/>
  <c r="R184" i="10" s="1"/>
  <c r="P188" i="10"/>
  <c r="Q188" i="10" s="1"/>
  <c r="R188" i="10" s="1"/>
  <c r="P192" i="10"/>
  <c r="Q192" i="10" s="1"/>
  <c r="R192" i="10" s="1"/>
  <c r="P196" i="10"/>
  <c r="Q196" i="10" s="1"/>
  <c r="R196" i="10" s="1"/>
  <c r="P200" i="10"/>
  <c r="Q200" i="10" s="1"/>
  <c r="R200" i="10" s="1"/>
  <c r="P9" i="10"/>
  <c r="Q9" i="10" s="1"/>
  <c r="R9" i="10" s="1"/>
  <c r="P13" i="10"/>
  <c r="Q13" i="10" s="1"/>
  <c r="R13" i="10" s="1"/>
  <c r="P17" i="10"/>
  <c r="Q17" i="10" s="1"/>
  <c r="R17" i="10" s="1"/>
  <c r="P21" i="10"/>
  <c r="Q21" i="10" s="1"/>
  <c r="R21" i="10" s="1"/>
  <c r="P25" i="10"/>
  <c r="Q25" i="10" s="1"/>
  <c r="R25" i="10" s="1"/>
  <c r="P29" i="10"/>
  <c r="Q29" i="10" s="1"/>
  <c r="R29" i="10" s="1"/>
  <c r="P33" i="10"/>
  <c r="Q33" i="10" s="1"/>
  <c r="R33" i="10" s="1"/>
  <c r="P37" i="10"/>
  <c r="Q37" i="10" s="1"/>
  <c r="R37" i="10" s="1"/>
  <c r="P41" i="10"/>
  <c r="Q41" i="10" s="1"/>
  <c r="R41" i="10" s="1"/>
  <c r="P45" i="10"/>
  <c r="Q45" i="10" s="1"/>
  <c r="R45" i="10" s="1"/>
  <c r="P49" i="10"/>
  <c r="Q49" i="10" s="1"/>
  <c r="R49" i="10" s="1"/>
  <c r="P53" i="10"/>
  <c r="Q53" i="10" s="1"/>
  <c r="R53" i="10" s="1"/>
  <c r="P57" i="10"/>
  <c r="Q57" i="10" s="1"/>
  <c r="R57" i="10" s="1"/>
  <c r="P61" i="10"/>
  <c r="Q61" i="10" s="1"/>
  <c r="R61" i="10" s="1"/>
  <c r="P65" i="10"/>
  <c r="Q65" i="10" s="1"/>
  <c r="R65" i="10" s="1"/>
  <c r="P69" i="10"/>
  <c r="Q69" i="10" s="1"/>
  <c r="R69" i="10" s="1"/>
  <c r="P73" i="10"/>
  <c r="Q73" i="10" s="1"/>
  <c r="R73" i="10" s="1"/>
  <c r="P77" i="10"/>
  <c r="Q77" i="10" s="1"/>
  <c r="R77" i="10" s="1"/>
  <c r="P81" i="10"/>
  <c r="Q81" i="10" s="1"/>
  <c r="R81" i="10" s="1"/>
  <c r="P85" i="10"/>
  <c r="Q85" i="10" s="1"/>
  <c r="R85" i="10" s="1"/>
  <c r="P89" i="10"/>
  <c r="Q89" i="10" s="1"/>
  <c r="R89" i="10" s="1"/>
  <c r="P93" i="10"/>
  <c r="Q93" i="10" s="1"/>
  <c r="R93" i="10" s="1"/>
  <c r="P97" i="10"/>
  <c r="Q97" i="10" s="1"/>
  <c r="R97" i="10" s="1"/>
  <c r="P101" i="10"/>
  <c r="Q101" i="10" s="1"/>
  <c r="R101" i="10" s="1"/>
  <c r="P105" i="10"/>
  <c r="Q105" i="10" s="1"/>
  <c r="R105" i="10" s="1"/>
  <c r="P109" i="10"/>
  <c r="Q109" i="10" s="1"/>
  <c r="R109" i="10" s="1"/>
  <c r="P113" i="10"/>
  <c r="Q113" i="10" s="1"/>
  <c r="R113" i="10" s="1"/>
  <c r="P117" i="10"/>
  <c r="Q117" i="10" s="1"/>
  <c r="R117" i="10" s="1"/>
  <c r="P121" i="10"/>
  <c r="Q121" i="10" s="1"/>
  <c r="R121" i="10" s="1"/>
  <c r="P125" i="10"/>
  <c r="Q125" i="10" s="1"/>
  <c r="R125" i="10" s="1"/>
  <c r="P129" i="10"/>
  <c r="Q129" i="10" s="1"/>
  <c r="R129" i="10" s="1"/>
  <c r="P133" i="10"/>
  <c r="Q133" i="10" s="1"/>
  <c r="R133" i="10" s="1"/>
  <c r="P137" i="10"/>
  <c r="Q137" i="10" s="1"/>
  <c r="R137" i="10" s="1"/>
  <c r="P141" i="10"/>
  <c r="Q141" i="10" s="1"/>
  <c r="R141" i="10" s="1"/>
  <c r="P145" i="10"/>
  <c r="Q145" i="10" s="1"/>
  <c r="R145" i="10" s="1"/>
  <c r="P149" i="10"/>
  <c r="Q149" i="10" s="1"/>
  <c r="R149" i="10" s="1"/>
  <c r="P153" i="10"/>
  <c r="Q153" i="10" s="1"/>
  <c r="R153" i="10" s="1"/>
  <c r="P157" i="10"/>
  <c r="Q157" i="10" s="1"/>
  <c r="R157" i="10" s="1"/>
  <c r="P161" i="10"/>
  <c r="Q161" i="10" s="1"/>
  <c r="R161" i="10" s="1"/>
  <c r="P165" i="10"/>
  <c r="Q165" i="10" s="1"/>
  <c r="R165" i="10" s="1"/>
  <c r="P169" i="10"/>
  <c r="Q169" i="10" s="1"/>
  <c r="R169" i="10" s="1"/>
  <c r="P173" i="10"/>
  <c r="Q173" i="10" s="1"/>
  <c r="R173" i="10" s="1"/>
  <c r="P177" i="10"/>
  <c r="Q177" i="10" s="1"/>
  <c r="R177" i="10" s="1"/>
  <c r="P181" i="10"/>
  <c r="Q181" i="10" s="1"/>
  <c r="R181" i="10" s="1"/>
  <c r="P185" i="10"/>
  <c r="Q185" i="10" s="1"/>
  <c r="R185" i="10" s="1"/>
  <c r="P189" i="10"/>
  <c r="Q189" i="10" s="1"/>
  <c r="R189" i="10" s="1"/>
  <c r="P193" i="10"/>
  <c r="Q193" i="10" s="1"/>
  <c r="R193" i="10" s="1"/>
  <c r="P197" i="10"/>
  <c r="Q197" i="10" s="1"/>
  <c r="R197" i="10" s="1"/>
  <c r="P201" i="10"/>
  <c r="Q201" i="10" s="1"/>
  <c r="R201" i="10" s="1"/>
  <c r="P6" i="10"/>
  <c r="Q6" i="10" s="1"/>
  <c r="R6" i="10" s="1"/>
  <c r="P22" i="10"/>
  <c r="Q22" i="10" s="1"/>
  <c r="R22" i="10" s="1"/>
  <c r="P38" i="10"/>
  <c r="Q38" i="10" s="1"/>
  <c r="R38" i="10" s="1"/>
  <c r="P54" i="10"/>
  <c r="Q54" i="10" s="1"/>
  <c r="R54" i="10" s="1"/>
  <c r="P70" i="10"/>
  <c r="Q70" i="10" s="1"/>
  <c r="R70" i="10" s="1"/>
  <c r="P86" i="10"/>
  <c r="Q86" i="10" s="1"/>
  <c r="R86" i="10" s="1"/>
  <c r="P102" i="10"/>
  <c r="Q102" i="10" s="1"/>
  <c r="R102" i="10" s="1"/>
  <c r="P118" i="10"/>
  <c r="Q118" i="10" s="1"/>
  <c r="R118" i="10" s="1"/>
  <c r="P134" i="10"/>
  <c r="Q134" i="10" s="1"/>
  <c r="R134" i="10" s="1"/>
  <c r="P150" i="10"/>
  <c r="Q150" i="10" s="1"/>
  <c r="R150" i="10" s="1"/>
  <c r="P166" i="10"/>
  <c r="Q166" i="10" s="1"/>
  <c r="R166" i="10" s="1"/>
  <c r="P182" i="10"/>
  <c r="Q182" i="10" s="1"/>
  <c r="R182" i="10" s="1"/>
  <c r="P198" i="10"/>
  <c r="Q198" i="10" s="1"/>
  <c r="R198" i="10" s="1"/>
  <c r="P10" i="10"/>
  <c r="Q10" i="10" s="1"/>
  <c r="R10" i="10" s="1"/>
  <c r="P26" i="10"/>
  <c r="Q26" i="10" s="1"/>
  <c r="R26" i="10" s="1"/>
  <c r="P42" i="10"/>
  <c r="Q42" i="10" s="1"/>
  <c r="R42" i="10" s="1"/>
  <c r="P58" i="10"/>
  <c r="Q58" i="10" s="1"/>
  <c r="R58" i="10" s="1"/>
  <c r="P74" i="10"/>
  <c r="Q74" i="10" s="1"/>
  <c r="R74" i="10" s="1"/>
  <c r="P90" i="10"/>
  <c r="Q90" i="10" s="1"/>
  <c r="R90" i="10" s="1"/>
  <c r="P106" i="10"/>
  <c r="Q106" i="10" s="1"/>
  <c r="R106" i="10" s="1"/>
  <c r="P122" i="10"/>
  <c r="Q122" i="10" s="1"/>
  <c r="R122" i="10" s="1"/>
  <c r="P138" i="10"/>
  <c r="Q138" i="10" s="1"/>
  <c r="R138" i="10" s="1"/>
  <c r="P154" i="10"/>
  <c r="Q154" i="10" s="1"/>
  <c r="R154" i="10" s="1"/>
  <c r="P170" i="10"/>
  <c r="Q170" i="10" s="1"/>
  <c r="R170" i="10" s="1"/>
  <c r="P186" i="10"/>
  <c r="Q186" i="10" s="1"/>
  <c r="R186" i="10" s="1"/>
  <c r="P202" i="10"/>
  <c r="Q202" i="10" s="1"/>
  <c r="R202" i="10" s="1"/>
  <c r="P14" i="10"/>
  <c r="Q14" i="10" s="1"/>
  <c r="R14" i="10" s="1"/>
  <c r="P30" i="10"/>
  <c r="Q30" i="10" s="1"/>
  <c r="R30" i="10" s="1"/>
  <c r="P46" i="10"/>
  <c r="Q46" i="10" s="1"/>
  <c r="R46" i="10" s="1"/>
  <c r="P62" i="10"/>
  <c r="Q62" i="10" s="1"/>
  <c r="R62" i="10" s="1"/>
  <c r="P78" i="10"/>
  <c r="Q78" i="10" s="1"/>
  <c r="R78" i="10" s="1"/>
  <c r="P94" i="10"/>
  <c r="Q94" i="10" s="1"/>
  <c r="R94" i="10" s="1"/>
  <c r="P110" i="10"/>
  <c r="Q110" i="10" s="1"/>
  <c r="R110" i="10" s="1"/>
  <c r="P126" i="10"/>
  <c r="Q126" i="10" s="1"/>
  <c r="R126" i="10" s="1"/>
  <c r="P142" i="10"/>
  <c r="Q142" i="10" s="1"/>
  <c r="R142" i="10" s="1"/>
  <c r="P158" i="10"/>
  <c r="Q158" i="10" s="1"/>
  <c r="R158" i="10" s="1"/>
  <c r="P174" i="10"/>
  <c r="Q174" i="10" s="1"/>
  <c r="R174" i="10" s="1"/>
  <c r="P190" i="10"/>
  <c r="Q190" i="10" s="1"/>
  <c r="R190" i="10" s="1"/>
  <c r="P18" i="10"/>
  <c r="Q18" i="10" s="1"/>
  <c r="R18" i="10" s="1"/>
  <c r="P34" i="10"/>
  <c r="Q34" i="10" s="1"/>
  <c r="R34" i="10" s="1"/>
  <c r="P50" i="10"/>
  <c r="Q50" i="10" s="1"/>
  <c r="R50" i="10" s="1"/>
  <c r="P66" i="10"/>
  <c r="Q66" i="10" s="1"/>
  <c r="R66" i="10" s="1"/>
  <c r="P82" i="10"/>
  <c r="Q82" i="10" s="1"/>
  <c r="R82" i="10" s="1"/>
  <c r="P98" i="10"/>
  <c r="Q98" i="10" s="1"/>
  <c r="R98" i="10" s="1"/>
  <c r="P114" i="10"/>
  <c r="Q114" i="10" s="1"/>
  <c r="R114" i="10" s="1"/>
  <c r="P130" i="10"/>
  <c r="Q130" i="10" s="1"/>
  <c r="R130" i="10" s="1"/>
  <c r="P146" i="10"/>
  <c r="Q146" i="10" s="1"/>
  <c r="R146" i="10" s="1"/>
  <c r="P162" i="10"/>
  <c r="Q162" i="10" s="1"/>
  <c r="R162" i="10" s="1"/>
  <c r="P178" i="10"/>
  <c r="Q178" i="10" s="1"/>
  <c r="R178" i="10" s="1"/>
  <c r="P194" i="10"/>
  <c r="Q194" i="10" s="1"/>
  <c r="R194" i="10" s="1"/>
  <c r="N5" i="10"/>
  <c r="L214" i="10" s="1"/>
  <c r="M214" i="10" s="1"/>
  <c r="K214" i="10"/>
  <c r="O214" i="10" s="1"/>
  <c r="F215" i="10"/>
  <c r="N215" i="10" s="1"/>
  <c r="R5" i="10" l="1"/>
  <c r="L215" i="10" s="1"/>
  <c r="M215" i="10" s="1"/>
  <c r="K215" i="10"/>
  <c r="O215" i="10" s="1"/>
  <c r="T323" i="7" l="1"/>
  <c r="S323" i="7"/>
  <c r="C234" i="7" a="1"/>
  <c r="C234" i="7" s="1"/>
  <c r="C213" i="7" a="1"/>
  <c r="C213" i="7" s="1"/>
  <c r="C223" i="7"/>
  <c r="C192" i="7" a="1"/>
  <c r="C192" i="7" s="1"/>
  <c r="C195" i="7"/>
  <c r="C171" i="7" a="1"/>
  <c r="C171" i="7" s="1"/>
  <c r="C150" i="7" a="1"/>
  <c r="C157" i="7" s="1"/>
  <c r="C129" i="7" a="1"/>
  <c r="C129" i="7" s="1"/>
  <c r="C108" i="7" a="1"/>
  <c r="C108" i="7" s="1"/>
  <c r="C87" i="7" a="1"/>
  <c r="C87" i="7" s="1"/>
  <c r="C66" i="7" a="1"/>
  <c r="C66" i="7" s="1"/>
  <c r="U6" i="7"/>
  <c r="U7" i="7"/>
  <c r="U8" i="7"/>
  <c r="U9" i="7"/>
  <c r="U10" i="7"/>
  <c r="U11" i="7"/>
  <c r="U12" i="7"/>
  <c r="U13" i="7"/>
  <c r="U14" i="7"/>
  <c r="U15" i="7"/>
  <c r="T6" i="7"/>
  <c r="T7" i="7"/>
  <c r="T8" i="7"/>
  <c r="T9" i="7"/>
  <c r="T10" i="7"/>
  <c r="T11" i="7"/>
  <c r="T12" i="7"/>
  <c r="T13" i="7"/>
  <c r="T14" i="7"/>
  <c r="T15" i="7"/>
  <c r="S6" i="7"/>
  <c r="S7" i="7"/>
  <c r="S8" i="7"/>
  <c r="S9" i="7"/>
  <c r="S10" i="7"/>
  <c r="S11" i="7"/>
  <c r="S12" i="7"/>
  <c r="S13" i="7"/>
  <c r="S14" i="7"/>
  <c r="S15" i="7"/>
  <c r="Q6" i="7"/>
  <c r="Q7" i="7"/>
  <c r="Q8" i="7"/>
  <c r="Q9" i="7"/>
  <c r="R9" i="7" s="1"/>
  <c r="Q10" i="7"/>
  <c r="Q11" i="7"/>
  <c r="R11" i="7" s="1"/>
  <c r="Z11" i="7" s="1"/>
  <c r="Q12" i="7"/>
  <c r="Q13" i="7"/>
  <c r="R13" i="7" s="1"/>
  <c r="Q14" i="7"/>
  <c r="Q15" i="7"/>
  <c r="P6" i="7"/>
  <c r="P7" i="7"/>
  <c r="P8" i="7"/>
  <c r="R8" i="7" s="1"/>
  <c r="P9" i="7"/>
  <c r="P10" i="7"/>
  <c r="P11" i="7"/>
  <c r="P12" i="7"/>
  <c r="P13" i="7"/>
  <c r="P14" i="7"/>
  <c r="P15" i="7"/>
  <c r="U5" i="7"/>
  <c r="T5" i="7"/>
  <c r="S5" i="7"/>
  <c r="Q5" i="7"/>
  <c r="R5" i="7" s="1"/>
  <c r="Z5" i="7" s="1"/>
  <c r="P5" i="7"/>
  <c r="O5" i="7"/>
  <c r="C45" i="7" a="1"/>
  <c r="C45" i="7" s="1"/>
  <c r="C48" i="7"/>
  <c r="C24" i="7" a="1"/>
  <c r="C24" i="7" s="1"/>
  <c r="C34" i="7"/>
  <c r="O6" i="7"/>
  <c r="O7" i="7"/>
  <c r="O8" i="7"/>
  <c r="O9" i="7"/>
  <c r="O10" i="7"/>
  <c r="O11" i="7"/>
  <c r="O12" i="7"/>
  <c r="O13" i="7"/>
  <c r="O14" i="7"/>
  <c r="O15" i="7"/>
  <c r="C36" i="4" a="1"/>
  <c r="C36" i="4" s="1"/>
  <c r="C15" i="4" a="1"/>
  <c r="C15" i="4" s="1"/>
  <c r="S5" i="4"/>
  <c r="Q5" i="4"/>
  <c r="P5" i="4"/>
  <c r="R5" i="4" s="1"/>
  <c r="U6" i="4"/>
  <c r="T6" i="4"/>
  <c r="S6" i="4"/>
  <c r="Q6" i="4"/>
  <c r="P6" i="4"/>
  <c r="U5" i="4"/>
  <c r="T5" i="4"/>
  <c r="C60" i="2" a="1"/>
  <c r="C60" i="2" s="1"/>
  <c r="E79" i="2"/>
  <c r="F79" i="2"/>
  <c r="G79" i="2"/>
  <c r="H79" i="2"/>
  <c r="I79" i="2"/>
  <c r="J79" i="2"/>
  <c r="C39" i="2" a="1"/>
  <c r="C39" i="2" s="1"/>
  <c r="U7" i="2"/>
  <c r="U6" i="2"/>
  <c r="T7" i="2"/>
  <c r="T6" i="2"/>
  <c r="S7" i="2"/>
  <c r="S6" i="2"/>
  <c r="Q7" i="2"/>
  <c r="Q6" i="2"/>
  <c r="P7" i="2"/>
  <c r="P6" i="2"/>
  <c r="K109" i="5"/>
  <c r="L109" i="5"/>
  <c r="M109" i="5"/>
  <c r="U109" i="5" s="1"/>
  <c r="N109" i="5"/>
  <c r="K110" i="5"/>
  <c r="L110" i="5"/>
  <c r="U110" i="5" s="1"/>
  <c r="M110" i="5"/>
  <c r="N110" i="5"/>
  <c r="K111" i="5"/>
  <c r="L111" i="5"/>
  <c r="M111" i="5"/>
  <c r="N111" i="5"/>
  <c r="J110" i="5"/>
  <c r="J111" i="5"/>
  <c r="O111" i="5" s="1"/>
  <c r="J109" i="5"/>
  <c r="C85" i="5" a="1"/>
  <c r="C85" i="5" s="1"/>
  <c r="C86" i="5"/>
  <c r="C64" i="5" a="1"/>
  <c r="C64" i="5" s="1"/>
  <c r="C66" i="5"/>
  <c r="C43" i="5" a="1"/>
  <c r="C43" i="5" s="1"/>
  <c r="C5" i="5"/>
  <c r="P8" i="5"/>
  <c r="Q8" i="5"/>
  <c r="S8" i="5"/>
  <c r="T8" i="5"/>
  <c r="U8" i="5"/>
  <c r="U7" i="5"/>
  <c r="T7" i="5"/>
  <c r="S7" i="5"/>
  <c r="Q7" i="5"/>
  <c r="P7" i="5"/>
  <c r="U6" i="5"/>
  <c r="T6" i="5"/>
  <c r="S6" i="5"/>
  <c r="Q6" i="5"/>
  <c r="P6" i="5"/>
  <c r="K168" i="1"/>
  <c r="D366" i="7"/>
  <c r="E366" i="7"/>
  <c r="F366" i="7"/>
  <c r="G366" i="7"/>
  <c r="H366" i="7"/>
  <c r="I366" i="7"/>
  <c r="J366" i="7"/>
  <c r="K366" i="7"/>
  <c r="L366" i="7"/>
  <c r="M366" i="7"/>
  <c r="D367" i="7"/>
  <c r="E367" i="7"/>
  <c r="F367" i="7"/>
  <c r="G367" i="7"/>
  <c r="H367" i="7"/>
  <c r="I367" i="7"/>
  <c r="J367" i="7"/>
  <c r="K367" i="7"/>
  <c r="L367" i="7"/>
  <c r="M367" i="7"/>
  <c r="D368" i="7"/>
  <c r="E368" i="7"/>
  <c r="F368" i="7"/>
  <c r="G368" i="7"/>
  <c r="H368" i="7"/>
  <c r="I368" i="7"/>
  <c r="J368" i="7"/>
  <c r="K368" i="7"/>
  <c r="L368" i="7"/>
  <c r="M368" i="7"/>
  <c r="D369" i="7"/>
  <c r="E369" i="7"/>
  <c r="F369" i="7"/>
  <c r="G369" i="7"/>
  <c r="H369" i="7"/>
  <c r="I369" i="7"/>
  <c r="J369" i="7"/>
  <c r="K369" i="7"/>
  <c r="L369" i="7"/>
  <c r="M369" i="7"/>
  <c r="D370" i="7"/>
  <c r="E370" i="7"/>
  <c r="F370" i="7"/>
  <c r="G370" i="7"/>
  <c r="H370" i="7"/>
  <c r="I370" i="7"/>
  <c r="J370" i="7"/>
  <c r="K370" i="7"/>
  <c r="L370" i="7"/>
  <c r="M370" i="7"/>
  <c r="D371" i="7"/>
  <c r="E371" i="7"/>
  <c r="F371" i="7"/>
  <c r="G371" i="7"/>
  <c r="H371" i="7"/>
  <c r="I371" i="7"/>
  <c r="J371" i="7"/>
  <c r="K371" i="7"/>
  <c r="L371" i="7"/>
  <c r="M371" i="7"/>
  <c r="D372" i="7"/>
  <c r="E372" i="7"/>
  <c r="F372" i="7"/>
  <c r="G372" i="7"/>
  <c r="H372" i="7"/>
  <c r="I372" i="7"/>
  <c r="J372" i="7"/>
  <c r="K372" i="7"/>
  <c r="L372" i="7"/>
  <c r="M372" i="7"/>
  <c r="D373" i="7"/>
  <c r="E373" i="7"/>
  <c r="F373" i="7"/>
  <c r="G373" i="7"/>
  <c r="H373" i="7"/>
  <c r="I373" i="7"/>
  <c r="J373" i="7"/>
  <c r="K373" i="7"/>
  <c r="L373" i="7"/>
  <c r="M373" i="7"/>
  <c r="D374" i="7"/>
  <c r="E374" i="7"/>
  <c r="F374" i="7"/>
  <c r="G374" i="7"/>
  <c r="H374" i="7"/>
  <c r="I374" i="7"/>
  <c r="J374" i="7"/>
  <c r="K374" i="7"/>
  <c r="L374" i="7"/>
  <c r="M374" i="7"/>
  <c r="D375" i="7"/>
  <c r="E375" i="7"/>
  <c r="F375" i="7"/>
  <c r="G375" i="7"/>
  <c r="H375" i="7"/>
  <c r="I375" i="7"/>
  <c r="J375" i="7"/>
  <c r="K375" i="7"/>
  <c r="L375" i="7"/>
  <c r="M375" i="7"/>
  <c r="D376" i="7"/>
  <c r="E376" i="7"/>
  <c r="F376" i="7"/>
  <c r="G376" i="7"/>
  <c r="H376" i="7"/>
  <c r="I376" i="7"/>
  <c r="J376" i="7"/>
  <c r="K376" i="7"/>
  <c r="L376" i="7"/>
  <c r="M376" i="7"/>
  <c r="C367" i="7"/>
  <c r="C368" i="7"/>
  <c r="C369" i="7"/>
  <c r="C370" i="7"/>
  <c r="C371" i="7"/>
  <c r="C372" i="7"/>
  <c r="C373" i="7"/>
  <c r="C374" i="7"/>
  <c r="C375" i="7"/>
  <c r="C376" i="7"/>
  <c r="C366" i="7"/>
  <c r="D350" i="7"/>
  <c r="E350" i="7"/>
  <c r="F350" i="7"/>
  <c r="G350" i="7"/>
  <c r="H350" i="7"/>
  <c r="I350" i="7"/>
  <c r="J350" i="7"/>
  <c r="K350" i="7"/>
  <c r="L350" i="7"/>
  <c r="M350" i="7"/>
  <c r="D351" i="7"/>
  <c r="E351" i="7"/>
  <c r="F351" i="7"/>
  <c r="G351" i="7"/>
  <c r="H351" i="7"/>
  <c r="I351" i="7"/>
  <c r="J351" i="7"/>
  <c r="K351" i="7"/>
  <c r="L351" i="7"/>
  <c r="M351" i="7"/>
  <c r="D352" i="7"/>
  <c r="E352" i="7"/>
  <c r="F352" i="7"/>
  <c r="G352" i="7"/>
  <c r="H352" i="7"/>
  <c r="I352" i="7"/>
  <c r="J352" i="7"/>
  <c r="K352" i="7"/>
  <c r="L352" i="7"/>
  <c r="M352" i="7"/>
  <c r="D353" i="7"/>
  <c r="E353" i="7"/>
  <c r="F353" i="7"/>
  <c r="G353" i="7"/>
  <c r="H353" i="7"/>
  <c r="I353" i="7"/>
  <c r="J353" i="7"/>
  <c r="K353" i="7"/>
  <c r="L353" i="7"/>
  <c r="M353" i="7"/>
  <c r="D354" i="7"/>
  <c r="E354" i="7"/>
  <c r="F354" i="7"/>
  <c r="G354" i="7"/>
  <c r="H354" i="7"/>
  <c r="I354" i="7"/>
  <c r="J354" i="7"/>
  <c r="K354" i="7"/>
  <c r="L354" i="7"/>
  <c r="M354" i="7"/>
  <c r="D355" i="7"/>
  <c r="E355" i="7"/>
  <c r="F355" i="7"/>
  <c r="G355" i="7"/>
  <c r="H355" i="7"/>
  <c r="I355" i="7"/>
  <c r="J355" i="7"/>
  <c r="K355" i="7"/>
  <c r="L355" i="7"/>
  <c r="M355" i="7"/>
  <c r="D356" i="7"/>
  <c r="E356" i="7"/>
  <c r="F356" i="7"/>
  <c r="G356" i="7"/>
  <c r="H356" i="7"/>
  <c r="I356" i="7"/>
  <c r="J356" i="7"/>
  <c r="K356" i="7"/>
  <c r="L356" i="7"/>
  <c r="M356" i="7"/>
  <c r="D357" i="7"/>
  <c r="E357" i="7"/>
  <c r="F357" i="7"/>
  <c r="G357" i="7"/>
  <c r="H357" i="7"/>
  <c r="I357" i="7"/>
  <c r="J357" i="7"/>
  <c r="K357" i="7"/>
  <c r="L357" i="7"/>
  <c r="M357" i="7"/>
  <c r="D358" i="7"/>
  <c r="E358" i="7"/>
  <c r="F358" i="7"/>
  <c r="G358" i="7"/>
  <c r="H358" i="7"/>
  <c r="I358" i="7"/>
  <c r="J358" i="7"/>
  <c r="K358" i="7"/>
  <c r="L358" i="7"/>
  <c r="M358" i="7"/>
  <c r="C351" i="7"/>
  <c r="C352" i="7"/>
  <c r="C353" i="7"/>
  <c r="C354" i="7"/>
  <c r="C355" i="7"/>
  <c r="C356" i="7"/>
  <c r="C357" i="7"/>
  <c r="C358" i="7"/>
  <c r="C350" i="7"/>
  <c r="D334" i="7"/>
  <c r="D333" i="7"/>
  <c r="E333" i="7"/>
  <c r="F333" i="7"/>
  <c r="G333" i="7"/>
  <c r="H333" i="7"/>
  <c r="I333" i="7"/>
  <c r="J333" i="7"/>
  <c r="K333" i="7"/>
  <c r="L333" i="7"/>
  <c r="M333" i="7"/>
  <c r="E334" i="7"/>
  <c r="F334" i="7"/>
  <c r="G334" i="7"/>
  <c r="H334" i="7"/>
  <c r="I334" i="7"/>
  <c r="J334" i="7"/>
  <c r="K334" i="7"/>
  <c r="L334" i="7"/>
  <c r="M334" i="7"/>
  <c r="D335" i="7"/>
  <c r="E335" i="7"/>
  <c r="F335" i="7"/>
  <c r="G335" i="7"/>
  <c r="H335" i="7"/>
  <c r="I335" i="7"/>
  <c r="J335" i="7"/>
  <c r="K335" i="7"/>
  <c r="L335" i="7"/>
  <c r="M335" i="7"/>
  <c r="D336" i="7"/>
  <c r="E336" i="7"/>
  <c r="F336" i="7"/>
  <c r="G336" i="7"/>
  <c r="H336" i="7"/>
  <c r="I336" i="7"/>
  <c r="J336" i="7"/>
  <c r="K336" i="7"/>
  <c r="L336" i="7"/>
  <c r="M336" i="7"/>
  <c r="D337" i="7"/>
  <c r="E337" i="7"/>
  <c r="F337" i="7"/>
  <c r="G337" i="7"/>
  <c r="H337" i="7"/>
  <c r="I337" i="7"/>
  <c r="J337" i="7"/>
  <c r="K337" i="7"/>
  <c r="L337" i="7"/>
  <c r="M337" i="7"/>
  <c r="D338" i="7"/>
  <c r="E338" i="7"/>
  <c r="F338" i="7"/>
  <c r="G338" i="7"/>
  <c r="H338" i="7"/>
  <c r="I338" i="7"/>
  <c r="J338" i="7"/>
  <c r="K338" i="7"/>
  <c r="L338" i="7"/>
  <c r="M338" i="7"/>
  <c r="D339" i="7"/>
  <c r="E339" i="7"/>
  <c r="F339" i="7"/>
  <c r="G339" i="7"/>
  <c r="H339" i="7"/>
  <c r="I339" i="7"/>
  <c r="J339" i="7"/>
  <c r="K339" i="7"/>
  <c r="L339" i="7"/>
  <c r="M339" i="7"/>
  <c r="D340" i="7"/>
  <c r="E340" i="7"/>
  <c r="F340" i="7"/>
  <c r="G340" i="7"/>
  <c r="H340" i="7"/>
  <c r="I340" i="7"/>
  <c r="J340" i="7"/>
  <c r="K340" i="7"/>
  <c r="L340" i="7"/>
  <c r="M340" i="7"/>
  <c r="D341" i="7"/>
  <c r="E341" i="7"/>
  <c r="F341" i="7"/>
  <c r="G341" i="7"/>
  <c r="H341" i="7"/>
  <c r="I341" i="7"/>
  <c r="J341" i="7"/>
  <c r="K341" i="7"/>
  <c r="L341" i="7"/>
  <c r="M341" i="7"/>
  <c r="D342" i="7"/>
  <c r="E342" i="7"/>
  <c r="F342" i="7"/>
  <c r="G342" i="7"/>
  <c r="H342" i="7"/>
  <c r="I342" i="7"/>
  <c r="J342" i="7"/>
  <c r="K342" i="7"/>
  <c r="L342" i="7"/>
  <c r="M342" i="7"/>
  <c r="C334" i="7"/>
  <c r="C335" i="7"/>
  <c r="C336" i="7"/>
  <c r="C337" i="7"/>
  <c r="C338" i="7"/>
  <c r="C339" i="7"/>
  <c r="C340" i="7"/>
  <c r="C341" i="7"/>
  <c r="C342" i="7"/>
  <c r="C333" i="7"/>
  <c r="E315" i="7"/>
  <c r="T315" i="7" s="1"/>
  <c r="F315" i="7"/>
  <c r="S315" i="7" s="1"/>
  <c r="G315" i="7"/>
  <c r="Q315" i="7" s="1"/>
  <c r="H315" i="7"/>
  <c r="I315" i="7"/>
  <c r="J315" i="7"/>
  <c r="K315" i="7"/>
  <c r="L315" i="7"/>
  <c r="M315" i="7"/>
  <c r="E316" i="7"/>
  <c r="F316" i="7"/>
  <c r="G316" i="7"/>
  <c r="H316" i="7"/>
  <c r="I316" i="7"/>
  <c r="J316" i="7"/>
  <c r="Q316" i="7" s="1"/>
  <c r="K316" i="7"/>
  <c r="L316" i="7"/>
  <c r="M316" i="7"/>
  <c r="E317" i="7"/>
  <c r="S317" i="7" s="1"/>
  <c r="F317" i="7"/>
  <c r="G317" i="7"/>
  <c r="H317" i="7"/>
  <c r="I317" i="7"/>
  <c r="J317" i="7"/>
  <c r="K317" i="7"/>
  <c r="L317" i="7"/>
  <c r="M317" i="7"/>
  <c r="E318" i="7"/>
  <c r="F318" i="7"/>
  <c r="G318" i="7"/>
  <c r="H318" i="7"/>
  <c r="I318" i="7"/>
  <c r="J318" i="7"/>
  <c r="K318" i="7"/>
  <c r="L318" i="7"/>
  <c r="M318" i="7"/>
  <c r="E319" i="7"/>
  <c r="F319" i="7"/>
  <c r="G319" i="7"/>
  <c r="H319" i="7"/>
  <c r="I319" i="7"/>
  <c r="J319" i="7"/>
  <c r="K319" i="7"/>
  <c r="L319" i="7"/>
  <c r="M319" i="7"/>
  <c r="E320" i="7"/>
  <c r="F320" i="7"/>
  <c r="U320" i="7" s="1"/>
  <c r="G320" i="7"/>
  <c r="H320" i="7"/>
  <c r="I320" i="7"/>
  <c r="T320" i="7" s="1"/>
  <c r="J320" i="7"/>
  <c r="K320" i="7"/>
  <c r="L320" i="7"/>
  <c r="M320" i="7"/>
  <c r="E321" i="7"/>
  <c r="Q321" i="7" s="1"/>
  <c r="F321" i="7"/>
  <c r="G321" i="7"/>
  <c r="H321" i="7"/>
  <c r="I321" i="7"/>
  <c r="J321" i="7"/>
  <c r="K321" i="7"/>
  <c r="L321" i="7"/>
  <c r="M321" i="7"/>
  <c r="E322" i="7"/>
  <c r="F322" i="7"/>
  <c r="G322" i="7"/>
  <c r="H322" i="7"/>
  <c r="I322" i="7"/>
  <c r="J322" i="7"/>
  <c r="K322" i="7"/>
  <c r="L322" i="7"/>
  <c r="M322" i="7"/>
  <c r="E323" i="7"/>
  <c r="F323" i="7"/>
  <c r="G323" i="7"/>
  <c r="H323" i="7"/>
  <c r="I323" i="7"/>
  <c r="J323" i="7"/>
  <c r="K323" i="7"/>
  <c r="U323" i="7" s="1"/>
  <c r="L323" i="7"/>
  <c r="M323" i="7"/>
  <c r="E324" i="7"/>
  <c r="F324" i="7"/>
  <c r="G324" i="7"/>
  <c r="H324" i="7"/>
  <c r="I324" i="7"/>
  <c r="J324" i="7"/>
  <c r="K324" i="7"/>
  <c r="L324" i="7"/>
  <c r="M324" i="7"/>
  <c r="E325" i="7"/>
  <c r="F325" i="7"/>
  <c r="G325" i="7"/>
  <c r="H325" i="7"/>
  <c r="I325" i="7"/>
  <c r="Q325" i="7" s="1"/>
  <c r="R325" i="7" s="1"/>
  <c r="Z325" i="7" s="1"/>
  <c r="J325" i="7"/>
  <c r="K325" i="7"/>
  <c r="L325" i="7"/>
  <c r="P325" i="7" s="1"/>
  <c r="M325" i="7"/>
  <c r="U325" i="7" s="1"/>
  <c r="D316" i="7"/>
  <c r="U316" i="7" s="1"/>
  <c r="D317" i="7"/>
  <c r="P317" i="7" s="1"/>
  <c r="D318" i="7"/>
  <c r="S318" i="7" s="1"/>
  <c r="D319" i="7"/>
  <c r="T319" i="7" s="1"/>
  <c r="D320" i="7"/>
  <c r="S320" i="7" s="1"/>
  <c r="D321" i="7"/>
  <c r="O321" i="7" s="1"/>
  <c r="D322" i="7"/>
  <c r="U322" i="7" s="1"/>
  <c r="D323" i="7"/>
  <c r="O323" i="7" s="1"/>
  <c r="D324" i="7"/>
  <c r="U324" i="7" s="1"/>
  <c r="D325" i="7"/>
  <c r="O325" i="7" s="1"/>
  <c r="D315" i="7"/>
  <c r="U315" i="7" s="1"/>
  <c r="E297" i="7"/>
  <c r="F297" i="7"/>
  <c r="G297" i="7"/>
  <c r="H297" i="7"/>
  <c r="I297" i="7"/>
  <c r="J297" i="7"/>
  <c r="K297" i="7"/>
  <c r="L297" i="7"/>
  <c r="M297" i="7"/>
  <c r="E298" i="7"/>
  <c r="F298" i="7"/>
  <c r="G298" i="7"/>
  <c r="H298" i="7"/>
  <c r="I298" i="7"/>
  <c r="J298" i="7"/>
  <c r="K298" i="7"/>
  <c r="L298" i="7"/>
  <c r="M298" i="7"/>
  <c r="E299" i="7"/>
  <c r="F299" i="7"/>
  <c r="G299" i="7"/>
  <c r="H299" i="7"/>
  <c r="I299" i="7"/>
  <c r="J299" i="7"/>
  <c r="K299" i="7"/>
  <c r="L299" i="7"/>
  <c r="M299" i="7"/>
  <c r="E300" i="7"/>
  <c r="F300" i="7"/>
  <c r="G300" i="7"/>
  <c r="H300" i="7"/>
  <c r="I300" i="7"/>
  <c r="J300" i="7"/>
  <c r="K300" i="7"/>
  <c r="L300" i="7"/>
  <c r="M300" i="7"/>
  <c r="E301" i="7"/>
  <c r="F301" i="7"/>
  <c r="G301" i="7"/>
  <c r="H301" i="7"/>
  <c r="I301" i="7"/>
  <c r="J301" i="7"/>
  <c r="K301" i="7"/>
  <c r="L301" i="7"/>
  <c r="M301" i="7"/>
  <c r="E302" i="7"/>
  <c r="F302" i="7"/>
  <c r="G302" i="7"/>
  <c r="H302" i="7"/>
  <c r="I302" i="7"/>
  <c r="J302" i="7"/>
  <c r="K302" i="7"/>
  <c r="L302" i="7"/>
  <c r="M302" i="7"/>
  <c r="E303" i="7"/>
  <c r="F303" i="7"/>
  <c r="G303" i="7"/>
  <c r="H303" i="7"/>
  <c r="I303" i="7"/>
  <c r="J303" i="7"/>
  <c r="K303" i="7"/>
  <c r="L303" i="7"/>
  <c r="M303" i="7"/>
  <c r="E304" i="7"/>
  <c r="F304" i="7"/>
  <c r="G304" i="7"/>
  <c r="H304" i="7"/>
  <c r="I304" i="7"/>
  <c r="J304" i="7"/>
  <c r="K304" i="7"/>
  <c r="L304" i="7"/>
  <c r="M304" i="7"/>
  <c r="E305" i="7"/>
  <c r="F305" i="7"/>
  <c r="G305" i="7"/>
  <c r="H305" i="7"/>
  <c r="I305" i="7"/>
  <c r="J305" i="7"/>
  <c r="K305" i="7"/>
  <c r="L305" i="7"/>
  <c r="M305" i="7"/>
  <c r="E306" i="7"/>
  <c r="F306" i="7"/>
  <c r="G306" i="7"/>
  <c r="H306" i="7"/>
  <c r="I306" i="7"/>
  <c r="J306" i="7"/>
  <c r="K306" i="7"/>
  <c r="L306" i="7"/>
  <c r="M306" i="7"/>
  <c r="E307" i="7"/>
  <c r="F307" i="7"/>
  <c r="G307" i="7"/>
  <c r="H307" i="7"/>
  <c r="I307" i="7"/>
  <c r="J307" i="7"/>
  <c r="K307" i="7"/>
  <c r="L307" i="7"/>
  <c r="M307" i="7"/>
  <c r="D307" i="7"/>
  <c r="D298" i="7"/>
  <c r="D299" i="7"/>
  <c r="D300" i="7"/>
  <c r="D301" i="7"/>
  <c r="D302" i="7"/>
  <c r="D303" i="7"/>
  <c r="D304" i="7"/>
  <c r="D305" i="7"/>
  <c r="D306" i="7"/>
  <c r="D297" i="7"/>
  <c r="D279" i="7"/>
  <c r="E279" i="7"/>
  <c r="F279" i="7"/>
  <c r="G279" i="7"/>
  <c r="H279" i="7"/>
  <c r="I279" i="7"/>
  <c r="J279" i="7"/>
  <c r="K279" i="7"/>
  <c r="L279" i="7"/>
  <c r="M279" i="7"/>
  <c r="D280" i="7"/>
  <c r="E280" i="7"/>
  <c r="F280" i="7"/>
  <c r="G280" i="7"/>
  <c r="H280" i="7"/>
  <c r="I280" i="7"/>
  <c r="J280" i="7"/>
  <c r="K280" i="7"/>
  <c r="L280" i="7"/>
  <c r="M280" i="7"/>
  <c r="D281" i="7"/>
  <c r="E281" i="7"/>
  <c r="F281" i="7"/>
  <c r="G281" i="7"/>
  <c r="H281" i="7"/>
  <c r="I281" i="7"/>
  <c r="J281" i="7"/>
  <c r="K281" i="7"/>
  <c r="L281" i="7"/>
  <c r="M281" i="7"/>
  <c r="D282" i="7"/>
  <c r="E282" i="7"/>
  <c r="F282" i="7"/>
  <c r="G282" i="7"/>
  <c r="H282" i="7"/>
  <c r="I282" i="7"/>
  <c r="J282" i="7"/>
  <c r="K282" i="7"/>
  <c r="L282" i="7"/>
  <c r="M282" i="7"/>
  <c r="D283" i="7"/>
  <c r="E283" i="7"/>
  <c r="F283" i="7"/>
  <c r="G283" i="7"/>
  <c r="H283" i="7"/>
  <c r="I283" i="7"/>
  <c r="J283" i="7"/>
  <c r="K283" i="7"/>
  <c r="L283" i="7"/>
  <c r="M283" i="7"/>
  <c r="D284" i="7"/>
  <c r="E284" i="7"/>
  <c r="F284" i="7"/>
  <c r="G284" i="7"/>
  <c r="H284" i="7"/>
  <c r="I284" i="7"/>
  <c r="J284" i="7"/>
  <c r="K284" i="7"/>
  <c r="L284" i="7"/>
  <c r="M284" i="7"/>
  <c r="D285" i="7"/>
  <c r="E285" i="7"/>
  <c r="F285" i="7"/>
  <c r="G285" i="7"/>
  <c r="H285" i="7"/>
  <c r="I285" i="7"/>
  <c r="J285" i="7"/>
  <c r="K285" i="7"/>
  <c r="L285" i="7"/>
  <c r="M285" i="7"/>
  <c r="D286" i="7"/>
  <c r="E286" i="7"/>
  <c r="F286" i="7"/>
  <c r="G286" i="7"/>
  <c r="H286" i="7"/>
  <c r="I286" i="7"/>
  <c r="J286" i="7"/>
  <c r="K286" i="7"/>
  <c r="L286" i="7"/>
  <c r="M286" i="7"/>
  <c r="D287" i="7"/>
  <c r="E287" i="7"/>
  <c r="F287" i="7"/>
  <c r="G287" i="7"/>
  <c r="H287" i="7"/>
  <c r="I287" i="7"/>
  <c r="J287" i="7"/>
  <c r="K287" i="7"/>
  <c r="L287" i="7"/>
  <c r="M287" i="7"/>
  <c r="D288" i="7"/>
  <c r="E288" i="7"/>
  <c r="F288" i="7"/>
  <c r="G288" i="7"/>
  <c r="H288" i="7"/>
  <c r="I288" i="7"/>
  <c r="J288" i="7"/>
  <c r="K288" i="7"/>
  <c r="L288" i="7"/>
  <c r="M288" i="7"/>
  <c r="D289" i="7"/>
  <c r="E289" i="7"/>
  <c r="F289" i="7"/>
  <c r="G289" i="7"/>
  <c r="H289" i="7"/>
  <c r="I289" i="7"/>
  <c r="J289" i="7"/>
  <c r="K289" i="7"/>
  <c r="L289" i="7"/>
  <c r="M289" i="7"/>
  <c r="C280" i="7"/>
  <c r="C281" i="7"/>
  <c r="C282" i="7"/>
  <c r="C283" i="7"/>
  <c r="C284" i="7"/>
  <c r="C285" i="7"/>
  <c r="C286" i="7"/>
  <c r="C287" i="7"/>
  <c r="C288" i="7"/>
  <c r="C289" i="7"/>
  <c r="C279" i="7"/>
  <c r="C114" i="1"/>
  <c r="D257" i="7"/>
  <c r="E257" i="7"/>
  <c r="F257" i="7"/>
  <c r="G257" i="7"/>
  <c r="H257" i="7"/>
  <c r="I257" i="7"/>
  <c r="J257" i="7"/>
  <c r="K257" i="7"/>
  <c r="L257" i="7"/>
  <c r="M257" i="7"/>
  <c r="D258" i="7"/>
  <c r="E258" i="7"/>
  <c r="F258" i="7"/>
  <c r="G258" i="7"/>
  <c r="H258" i="7"/>
  <c r="I258" i="7"/>
  <c r="J258" i="7"/>
  <c r="K258" i="7"/>
  <c r="L258" i="7"/>
  <c r="M258" i="7"/>
  <c r="D259" i="7"/>
  <c r="E259" i="7"/>
  <c r="F259" i="7"/>
  <c r="G259" i="7"/>
  <c r="H259" i="7"/>
  <c r="I259" i="7"/>
  <c r="J259" i="7"/>
  <c r="K259" i="7"/>
  <c r="L259" i="7"/>
  <c r="M259" i="7"/>
  <c r="D260" i="7"/>
  <c r="E260" i="7"/>
  <c r="F260" i="7"/>
  <c r="G260" i="7"/>
  <c r="H260" i="7"/>
  <c r="I260" i="7"/>
  <c r="J260" i="7"/>
  <c r="K260" i="7"/>
  <c r="L260" i="7"/>
  <c r="M260" i="7"/>
  <c r="D261" i="7"/>
  <c r="E261" i="7"/>
  <c r="F261" i="7"/>
  <c r="G261" i="7"/>
  <c r="H261" i="7"/>
  <c r="I261" i="7"/>
  <c r="J261" i="7"/>
  <c r="K261" i="7"/>
  <c r="L261" i="7"/>
  <c r="M261" i="7"/>
  <c r="D262" i="7"/>
  <c r="E262" i="7"/>
  <c r="F262" i="7"/>
  <c r="G262" i="7"/>
  <c r="H262" i="7"/>
  <c r="I262" i="7"/>
  <c r="J262" i="7"/>
  <c r="K262" i="7"/>
  <c r="L262" i="7"/>
  <c r="M262" i="7"/>
  <c r="D263" i="7"/>
  <c r="E263" i="7"/>
  <c r="F263" i="7"/>
  <c r="G263" i="7"/>
  <c r="H263" i="7"/>
  <c r="I263" i="7"/>
  <c r="J263" i="7"/>
  <c r="K263" i="7"/>
  <c r="L263" i="7"/>
  <c r="M263" i="7"/>
  <c r="D264" i="7"/>
  <c r="E264" i="7"/>
  <c r="F264" i="7"/>
  <c r="G264" i="7"/>
  <c r="H264" i="7"/>
  <c r="I264" i="7"/>
  <c r="J264" i="7"/>
  <c r="K264" i="7"/>
  <c r="L264" i="7"/>
  <c r="M264" i="7"/>
  <c r="D265" i="7"/>
  <c r="E265" i="7"/>
  <c r="F265" i="7"/>
  <c r="G265" i="7"/>
  <c r="H265" i="7"/>
  <c r="I265" i="7"/>
  <c r="J265" i="7"/>
  <c r="K265" i="7"/>
  <c r="L265" i="7"/>
  <c r="M265" i="7"/>
  <c r="D266" i="7"/>
  <c r="E266" i="7"/>
  <c r="F266" i="7"/>
  <c r="G266" i="7"/>
  <c r="H266" i="7"/>
  <c r="I266" i="7"/>
  <c r="J266" i="7"/>
  <c r="K266" i="7"/>
  <c r="L266" i="7"/>
  <c r="M266" i="7"/>
  <c r="D267" i="7"/>
  <c r="E267" i="7"/>
  <c r="F267" i="7"/>
  <c r="G267" i="7"/>
  <c r="H267" i="7"/>
  <c r="I267" i="7"/>
  <c r="J267" i="7"/>
  <c r="K267" i="7"/>
  <c r="L267" i="7"/>
  <c r="M267" i="7"/>
  <c r="C258" i="7"/>
  <c r="C259" i="7"/>
  <c r="C260" i="7"/>
  <c r="C261" i="7"/>
  <c r="C262" i="7"/>
  <c r="C263" i="7"/>
  <c r="C264" i="7"/>
  <c r="C265" i="7"/>
  <c r="C266" i="7"/>
  <c r="C267" i="7"/>
  <c r="C257" i="7"/>
  <c r="C99" i="1"/>
  <c r="C88" i="6"/>
  <c r="C89" i="6"/>
  <c r="C90" i="6"/>
  <c r="C91" i="6"/>
  <c r="C92" i="6"/>
  <c r="C87" i="6"/>
  <c r="C53" i="6"/>
  <c r="C54" i="6"/>
  <c r="C55" i="6"/>
  <c r="C56" i="6"/>
  <c r="C57" i="6"/>
  <c r="C52" i="6"/>
  <c r="D145" i="1"/>
  <c r="C36" i="6"/>
  <c r="C37" i="6"/>
  <c r="C38" i="6"/>
  <c r="C39" i="6"/>
  <c r="C35" i="6"/>
  <c r="D125" i="1"/>
  <c r="C75" i="6"/>
  <c r="Q317" i="7" l="1"/>
  <c r="R317" i="7" s="1"/>
  <c r="Z317" i="7" s="1"/>
  <c r="U111" i="5"/>
  <c r="R15" i="7"/>
  <c r="Z15" i="7" s="1"/>
  <c r="C199" i="7"/>
  <c r="G199" i="7" s="1"/>
  <c r="O317" i="7"/>
  <c r="T317" i="7"/>
  <c r="P323" i="7"/>
  <c r="S325" i="7"/>
  <c r="O320" i="7"/>
  <c r="O318" i="7"/>
  <c r="C67" i="5"/>
  <c r="G67" i="5" s="1"/>
  <c r="C198" i="7"/>
  <c r="O316" i="7"/>
  <c r="U317" i="7"/>
  <c r="Q323" i="7"/>
  <c r="R323" i="7" s="1"/>
  <c r="Z323" i="7" s="1"/>
  <c r="T325" i="7"/>
  <c r="P318" i="7"/>
  <c r="S321" i="7"/>
  <c r="C220" i="7"/>
  <c r="G220" i="7" s="1"/>
  <c r="Q318" i="7"/>
  <c r="T321" i="7"/>
  <c r="P315" i="7"/>
  <c r="R315" i="7" s="1"/>
  <c r="Z315" i="7" s="1"/>
  <c r="P316" i="7"/>
  <c r="R316" i="7" s="1"/>
  <c r="Z316" i="7" s="1"/>
  <c r="T318" i="7"/>
  <c r="P324" i="7"/>
  <c r="O110" i="5"/>
  <c r="R7" i="7"/>
  <c r="O315" i="7"/>
  <c r="S316" i="7"/>
  <c r="U318" i="7"/>
  <c r="Q324" i="7"/>
  <c r="R324" i="7" s="1"/>
  <c r="U321" i="7"/>
  <c r="R12" i="7"/>
  <c r="Z12" i="7" s="1"/>
  <c r="T316" i="7"/>
  <c r="P322" i="7"/>
  <c r="S324" i="7"/>
  <c r="P321" i="7"/>
  <c r="R321" i="7" s="1"/>
  <c r="Z321" i="7" s="1"/>
  <c r="O324" i="7"/>
  <c r="Q322" i="7"/>
  <c r="T324" i="7"/>
  <c r="C26" i="7"/>
  <c r="C135" i="7"/>
  <c r="P320" i="7"/>
  <c r="S322" i="7"/>
  <c r="C130" i="7"/>
  <c r="G130" i="7" s="1"/>
  <c r="O322" i="7"/>
  <c r="Q320" i="7"/>
  <c r="R320" i="7" s="1"/>
  <c r="Z320" i="7" s="1"/>
  <c r="T322" i="7"/>
  <c r="C55" i="7"/>
  <c r="G55" i="7" s="1"/>
  <c r="U319" i="7"/>
  <c r="P319" i="7"/>
  <c r="Q319" i="7"/>
  <c r="R319" i="7" s="1"/>
  <c r="S319" i="7"/>
  <c r="O319" i="7"/>
  <c r="C22" i="4"/>
  <c r="C43" i="4"/>
  <c r="C18" i="4"/>
  <c r="C42" i="4"/>
  <c r="C25" i="4"/>
  <c r="C26" i="4"/>
  <c r="G26" i="4" s="1"/>
  <c r="C17" i="4"/>
  <c r="C47" i="4"/>
  <c r="C39" i="4"/>
  <c r="C46" i="4"/>
  <c r="C38" i="4"/>
  <c r="C47" i="7"/>
  <c r="R14" i="7"/>
  <c r="Z14" i="7" s="1"/>
  <c r="R10" i="7"/>
  <c r="Z10" i="7" s="1"/>
  <c r="R6" i="7"/>
  <c r="Z6" i="7" s="1"/>
  <c r="C115" i="7"/>
  <c r="G115" i="7" s="1"/>
  <c r="C31" i="7"/>
  <c r="G31" i="7" s="1"/>
  <c r="C73" i="7"/>
  <c r="G73" i="7" s="1"/>
  <c r="C97" i="7"/>
  <c r="C114" i="7"/>
  <c r="C27" i="7"/>
  <c r="G27" i="7" s="1"/>
  <c r="C52" i="7"/>
  <c r="C72" i="7"/>
  <c r="G72" i="7" s="1"/>
  <c r="C89" i="7"/>
  <c r="C111" i="7"/>
  <c r="C202" i="7"/>
  <c r="C194" i="7"/>
  <c r="G194" i="7" s="1"/>
  <c r="C216" i="7"/>
  <c r="C69" i="7"/>
  <c r="G69" i="7" s="1"/>
  <c r="C215" i="7"/>
  <c r="C150" i="7"/>
  <c r="C152" i="7"/>
  <c r="G152" i="7" s="1"/>
  <c r="C160" i="7"/>
  <c r="G160" i="7" s="1"/>
  <c r="C156" i="7"/>
  <c r="C153" i="7"/>
  <c r="C241" i="7"/>
  <c r="G241" i="7" s="1"/>
  <c r="C94" i="7"/>
  <c r="G94" i="7" s="1"/>
  <c r="C240" i="7"/>
  <c r="C76" i="7"/>
  <c r="C68" i="7"/>
  <c r="C93" i="7"/>
  <c r="C118" i="7"/>
  <c r="C110" i="7"/>
  <c r="C138" i="7"/>
  <c r="G138" i="7" s="1"/>
  <c r="C132" i="7"/>
  <c r="G132" i="7" s="1"/>
  <c r="C178" i="7"/>
  <c r="G178" i="7" s="1"/>
  <c r="C237" i="7"/>
  <c r="G237" i="7" s="1"/>
  <c r="C139" i="7"/>
  <c r="G139" i="7" s="1"/>
  <c r="C134" i="7"/>
  <c r="G134" i="7" s="1"/>
  <c r="X7" i="7"/>
  <c r="Y7" i="7" s="1"/>
  <c r="AB7" i="7" s="1"/>
  <c r="X8" i="7"/>
  <c r="Y8" i="7" s="1"/>
  <c r="AB8" i="7" s="1"/>
  <c r="C30" i="7"/>
  <c r="C51" i="7"/>
  <c r="G51" i="7" s="1"/>
  <c r="C90" i="7"/>
  <c r="C136" i="7"/>
  <c r="G136" i="7" s="1"/>
  <c r="C131" i="7"/>
  <c r="C174" i="7"/>
  <c r="C219" i="7"/>
  <c r="C244" i="7"/>
  <c r="C236" i="7"/>
  <c r="C243" i="7"/>
  <c r="C239" i="7"/>
  <c r="C235" i="7"/>
  <c r="G235" i="7" s="1"/>
  <c r="C242" i="7"/>
  <c r="G242" i="7" s="1"/>
  <c r="C238" i="7"/>
  <c r="G238" i="7" s="1"/>
  <c r="C222" i="7"/>
  <c r="C218" i="7"/>
  <c r="G218" i="7" s="1"/>
  <c r="C214" i="7"/>
  <c r="G214" i="7" s="1"/>
  <c r="C221" i="7"/>
  <c r="G221" i="7" s="1"/>
  <c r="C217" i="7"/>
  <c r="C201" i="7"/>
  <c r="G201" i="7" s="1"/>
  <c r="C197" i="7"/>
  <c r="G197" i="7" s="1"/>
  <c r="C193" i="7"/>
  <c r="G193" i="7" s="1"/>
  <c r="C200" i="7"/>
  <c r="G200" i="7" s="1"/>
  <c r="C196" i="7"/>
  <c r="G196" i="7" s="1"/>
  <c r="C181" i="7"/>
  <c r="C177" i="7"/>
  <c r="C173" i="7"/>
  <c r="C180" i="7"/>
  <c r="G180" i="7" s="1"/>
  <c r="C176" i="7"/>
  <c r="G176" i="7" s="1"/>
  <c r="C172" i="7"/>
  <c r="G172" i="7" s="1"/>
  <c r="C179" i="7"/>
  <c r="C175" i="7"/>
  <c r="G175" i="7" s="1"/>
  <c r="C159" i="7"/>
  <c r="G159" i="7" s="1"/>
  <c r="C155" i="7"/>
  <c r="G155" i="7" s="1"/>
  <c r="C151" i="7"/>
  <c r="C158" i="7"/>
  <c r="G158" i="7" s="1"/>
  <c r="C154" i="7"/>
  <c r="C137" i="7"/>
  <c r="C133" i="7"/>
  <c r="C117" i="7"/>
  <c r="C113" i="7"/>
  <c r="C109" i="7"/>
  <c r="G109" i="7" s="1"/>
  <c r="C116" i="7"/>
  <c r="C112" i="7"/>
  <c r="G112" i="7" s="1"/>
  <c r="C96" i="7"/>
  <c r="G96" i="7" s="1"/>
  <c r="C92" i="7"/>
  <c r="G92" i="7" s="1"/>
  <c r="C88" i="7"/>
  <c r="G88" i="7" s="1"/>
  <c r="C95" i="7"/>
  <c r="C91" i="7"/>
  <c r="G91" i="7" s="1"/>
  <c r="C75" i="7"/>
  <c r="G75" i="7" s="1"/>
  <c r="C71" i="7"/>
  <c r="C67" i="7"/>
  <c r="G67" i="7" s="1"/>
  <c r="C74" i="7"/>
  <c r="C70" i="7"/>
  <c r="Z13" i="7"/>
  <c r="C54" i="7"/>
  <c r="C50" i="7"/>
  <c r="C46" i="7"/>
  <c r="G46" i="7" s="1"/>
  <c r="C53" i="7"/>
  <c r="G53" i="7" s="1"/>
  <c r="C49" i="7"/>
  <c r="G49" i="7" s="1"/>
  <c r="C33" i="7"/>
  <c r="G33" i="7" s="1"/>
  <c r="C29" i="7"/>
  <c r="G29" i="7" s="1"/>
  <c r="C25" i="7"/>
  <c r="G25" i="7" s="1"/>
  <c r="C32" i="7"/>
  <c r="C28" i="7"/>
  <c r="Z9" i="7"/>
  <c r="Z7" i="7"/>
  <c r="Z8" i="7"/>
  <c r="T109" i="5"/>
  <c r="Q109" i="5"/>
  <c r="O109" i="5"/>
  <c r="P110" i="5"/>
  <c r="C90" i="5"/>
  <c r="C45" i="4"/>
  <c r="C41" i="4"/>
  <c r="C37" i="4"/>
  <c r="C44" i="4"/>
  <c r="C40" i="4"/>
  <c r="R6" i="4"/>
  <c r="C21" i="4"/>
  <c r="C24" i="4"/>
  <c r="C20" i="4"/>
  <c r="C16" i="4"/>
  <c r="G16" i="4" s="1"/>
  <c r="C23" i="4"/>
  <c r="C19" i="4"/>
  <c r="G19" i="4" s="1"/>
  <c r="C67" i="2"/>
  <c r="C63" i="2"/>
  <c r="C70" i="2"/>
  <c r="C62" i="2"/>
  <c r="C66" i="2"/>
  <c r="C69" i="2"/>
  <c r="C65" i="2"/>
  <c r="C61" i="2"/>
  <c r="C68" i="2"/>
  <c r="C64" i="2"/>
  <c r="C46" i="2"/>
  <c r="C42" i="2"/>
  <c r="C49" i="2"/>
  <c r="C45" i="2"/>
  <c r="C41" i="2"/>
  <c r="C48" i="2"/>
  <c r="C40" i="2"/>
  <c r="C44" i="2"/>
  <c r="C47" i="2"/>
  <c r="C43" i="2"/>
  <c r="R6" i="2"/>
  <c r="R7" i="2"/>
  <c r="S109" i="5"/>
  <c r="G86" i="5"/>
  <c r="C46" i="5"/>
  <c r="P111" i="5"/>
  <c r="Q111" i="5"/>
  <c r="R111" i="5" s="1"/>
  <c r="Z111" i="5" s="1"/>
  <c r="S110" i="5"/>
  <c r="T110" i="5"/>
  <c r="Q110" i="5"/>
  <c r="C88" i="5"/>
  <c r="S111" i="5"/>
  <c r="T111" i="5"/>
  <c r="C87" i="5"/>
  <c r="P109" i="5"/>
  <c r="R109" i="5" s="1"/>
  <c r="Z109" i="5" s="1"/>
  <c r="C89" i="5"/>
  <c r="C69" i="5"/>
  <c r="C65" i="5"/>
  <c r="C68" i="5"/>
  <c r="C45" i="5"/>
  <c r="C48" i="5"/>
  <c r="C44" i="5"/>
  <c r="C47" i="5"/>
  <c r="R7" i="5"/>
  <c r="R8" i="5"/>
  <c r="R6" i="5"/>
  <c r="C72" i="6"/>
  <c r="C71" i="6"/>
  <c r="C74" i="6"/>
  <c r="C70" i="6"/>
  <c r="C69" i="6"/>
  <c r="C73" i="6"/>
  <c r="S5" i="1"/>
  <c r="C75" i="1" a="1"/>
  <c r="C75" i="1" s="1"/>
  <c r="C55" i="1" a="1"/>
  <c r="C55" i="1" s="1"/>
  <c r="A55" i="1" a="1"/>
  <c r="A58" i="1" s="1"/>
  <c r="C35" i="1" a="1"/>
  <c r="C35" i="1" s="1"/>
  <c r="A35" i="1" a="1"/>
  <c r="A35" i="1" s="1"/>
  <c r="C15" i="1" a="1"/>
  <c r="C15" i="1" s="1"/>
  <c r="A15" i="1" a="1"/>
  <c r="A15" i="1" s="1"/>
  <c r="F6" i="9"/>
  <c r="G6" i="9" s="1"/>
  <c r="F7" i="9"/>
  <c r="G7" i="9" s="1"/>
  <c r="F5" i="9"/>
  <c r="G5" i="9" s="1"/>
  <c r="S6" i="1"/>
  <c r="S7" i="1"/>
  <c r="S8" i="1"/>
  <c r="Q6" i="1"/>
  <c r="Q7" i="1"/>
  <c r="Q8" i="1"/>
  <c r="Q5" i="1"/>
  <c r="P6" i="1"/>
  <c r="P7" i="1"/>
  <c r="P8" i="1"/>
  <c r="P5" i="1"/>
  <c r="U6" i="1"/>
  <c r="U7" i="1"/>
  <c r="U8" i="1"/>
  <c r="U5" i="1"/>
  <c r="T6" i="1"/>
  <c r="T7" i="1"/>
  <c r="T8" i="1"/>
  <c r="T5" i="1"/>
  <c r="K35" i="1" l="1"/>
  <c r="C48" i="4"/>
  <c r="D36" i="4" s="1"/>
  <c r="G32" i="7"/>
  <c r="G95" i="7"/>
  <c r="G153" i="7"/>
  <c r="G97" i="7"/>
  <c r="R318" i="7"/>
  <c r="Z318" i="7" s="1"/>
  <c r="G28" i="7"/>
  <c r="G30" i="7"/>
  <c r="G179" i="7"/>
  <c r="G222" i="7"/>
  <c r="G156" i="7"/>
  <c r="Z324" i="7"/>
  <c r="G177" i="7"/>
  <c r="G243" i="7"/>
  <c r="G50" i="7"/>
  <c r="G113" i="7"/>
  <c r="G181" i="7"/>
  <c r="G236" i="7"/>
  <c r="G246" i="7" s="1"/>
  <c r="G216" i="7"/>
  <c r="G47" i="7"/>
  <c r="G223" i="7"/>
  <c r="G23" i="4"/>
  <c r="G54" i="7"/>
  <c r="G117" i="7"/>
  <c r="G244" i="7"/>
  <c r="G198" i="7"/>
  <c r="G48" i="7"/>
  <c r="G239" i="7"/>
  <c r="R110" i="5"/>
  <c r="Z110" i="5" s="1"/>
  <c r="G133" i="7"/>
  <c r="G219" i="7"/>
  <c r="G202" i="7"/>
  <c r="G195" i="7"/>
  <c r="G204" i="7" s="1"/>
  <c r="G173" i="7"/>
  <c r="G215" i="7"/>
  <c r="G225" i="7" s="1"/>
  <c r="G20" i="4"/>
  <c r="G70" i="7"/>
  <c r="G137" i="7"/>
  <c r="G174" i="7"/>
  <c r="G93" i="7"/>
  <c r="G111" i="7"/>
  <c r="G120" i="7" s="1"/>
  <c r="G18" i="4"/>
  <c r="G135" i="7"/>
  <c r="G157" i="7"/>
  <c r="G74" i="7"/>
  <c r="G154" i="7"/>
  <c r="G131" i="7"/>
  <c r="G68" i="7"/>
  <c r="G89" i="7"/>
  <c r="G26" i="7"/>
  <c r="G36" i="7" s="1"/>
  <c r="G34" i="7"/>
  <c r="G76" i="7"/>
  <c r="G78" i="7"/>
  <c r="H69" i="7" s="1"/>
  <c r="I69" i="7" s="1"/>
  <c r="J69" i="7" s="1"/>
  <c r="H67" i="7"/>
  <c r="I67" i="7" s="1"/>
  <c r="R5" i="1"/>
  <c r="G71" i="7"/>
  <c r="G151" i="7"/>
  <c r="G217" i="7"/>
  <c r="G90" i="7"/>
  <c r="G240" i="7"/>
  <c r="G52" i="7"/>
  <c r="R322" i="7"/>
  <c r="Z322" i="7" s="1"/>
  <c r="G110" i="7"/>
  <c r="Z319" i="7"/>
  <c r="G116" i="7"/>
  <c r="G118" i="7"/>
  <c r="G114" i="7"/>
  <c r="G40" i="4"/>
  <c r="D40" i="4"/>
  <c r="E40" i="4" s="1"/>
  <c r="F40" i="4" s="1"/>
  <c r="G45" i="4"/>
  <c r="D45" i="4"/>
  <c r="E45" i="4" s="1"/>
  <c r="F45" i="4" s="1"/>
  <c r="G46" i="4"/>
  <c r="D46" i="4"/>
  <c r="E46" i="4" s="1"/>
  <c r="F46" i="4" s="1"/>
  <c r="G44" i="4"/>
  <c r="D44" i="4"/>
  <c r="E44" i="4" s="1"/>
  <c r="F44" i="4" s="1"/>
  <c r="G39" i="4"/>
  <c r="D39" i="4"/>
  <c r="E39" i="4" s="1"/>
  <c r="F39" i="4" s="1"/>
  <c r="G43" i="4"/>
  <c r="D43" i="4"/>
  <c r="E43" i="4" s="1"/>
  <c r="F43" i="4" s="1"/>
  <c r="G24" i="4"/>
  <c r="D37" i="4"/>
  <c r="E37" i="4" s="1"/>
  <c r="F37" i="4" s="1"/>
  <c r="G37" i="4"/>
  <c r="G47" i="4"/>
  <c r="D47" i="4"/>
  <c r="E47" i="4" s="1"/>
  <c r="F47" i="4" s="1"/>
  <c r="G25" i="4"/>
  <c r="G22" i="4"/>
  <c r="G21" i="4"/>
  <c r="G41" i="4"/>
  <c r="D41" i="4"/>
  <c r="E41" i="4" s="1"/>
  <c r="F41" i="4" s="1"/>
  <c r="D38" i="4"/>
  <c r="E38" i="4" s="1"/>
  <c r="F38" i="4" s="1"/>
  <c r="G38" i="4"/>
  <c r="G17" i="4"/>
  <c r="G42" i="4"/>
  <c r="D42" i="4"/>
  <c r="E42" i="4" s="1"/>
  <c r="F42" i="4" s="1"/>
  <c r="D236" i="7"/>
  <c r="E236" i="7" s="1"/>
  <c r="F236" i="7" s="1"/>
  <c r="D70" i="7"/>
  <c r="E70" i="7" s="1"/>
  <c r="F70" i="7" s="1"/>
  <c r="C36" i="7"/>
  <c r="D29" i="7" s="1"/>
  <c r="E29" i="7" s="1"/>
  <c r="F29" i="7" s="1"/>
  <c r="D136" i="7"/>
  <c r="E136" i="7" s="1"/>
  <c r="F136" i="7" s="1"/>
  <c r="C246" i="7"/>
  <c r="D234" i="7" s="1"/>
  <c r="E234" i="7" s="1"/>
  <c r="C225" i="7"/>
  <c r="C204" i="7"/>
  <c r="D197" i="7" s="1"/>
  <c r="E197" i="7" s="1"/>
  <c r="F197" i="7" s="1"/>
  <c r="C183" i="7"/>
  <c r="D171" i="7" s="1"/>
  <c r="E171" i="7" s="1"/>
  <c r="C162" i="7"/>
  <c r="D157" i="7" s="1"/>
  <c r="E157" i="7" s="1"/>
  <c r="F157" i="7" s="1"/>
  <c r="C141" i="7"/>
  <c r="D131" i="7" s="1"/>
  <c r="E131" i="7" s="1"/>
  <c r="F131" i="7" s="1"/>
  <c r="C120" i="7"/>
  <c r="C99" i="7"/>
  <c r="C78" i="7"/>
  <c r="D94" i="7" s="1"/>
  <c r="E94" i="7" s="1"/>
  <c r="F94" i="7" s="1"/>
  <c r="C57" i="7"/>
  <c r="D53" i="7" s="1"/>
  <c r="E53" i="7" s="1"/>
  <c r="F53" i="7" s="1"/>
  <c r="E36" i="4"/>
  <c r="C27" i="4"/>
  <c r="D23" i="4" s="1"/>
  <c r="E23" i="4" s="1"/>
  <c r="F23" i="4" s="1"/>
  <c r="C71" i="2"/>
  <c r="C50" i="2"/>
  <c r="G46" i="5"/>
  <c r="G45" i="5"/>
  <c r="G69" i="5"/>
  <c r="G48" i="5"/>
  <c r="G87" i="5"/>
  <c r="G65" i="5"/>
  <c r="G66" i="5"/>
  <c r="C49" i="5"/>
  <c r="D43" i="5" s="1"/>
  <c r="E43" i="5" s="1"/>
  <c r="G47" i="5"/>
  <c r="G89" i="5"/>
  <c r="G44" i="5"/>
  <c r="G68" i="5"/>
  <c r="G88" i="5"/>
  <c r="G90" i="5"/>
  <c r="C91" i="5"/>
  <c r="D89" i="5" s="1"/>
  <c r="E89" i="5" s="1"/>
  <c r="F89" i="5" s="1"/>
  <c r="C70" i="5"/>
  <c r="K55" i="1"/>
  <c r="K75" i="1"/>
  <c r="C86" i="1"/>
  <c r="C85" i="1"/>
  <c r="C83" i="1"/>
  <c r="C82" i="1"/>
  <c r="C81" i="1"/>
  <c r="A57" i="1"/>
  <c r="A56" i="1"/>
  <c r="C84" i="1"/>
  <c r="C80" i="1"/>
  <c r="C78" i="1"/>
  <c r="A55" i="1"/>
  <c r="C79" i="1"/>
  <c r="A66" i="1"/>
  <c r="A65" i="1"/>
  <c r="A61" i="1"/>
  <c r="A59" i="1"/>
  <c r="A64" i="1"/>
  <c r="A63" i="1"/>
  <c r="A62" i="1"/>
  <c r="A60" i="1"/>
  <c r="C77" i="1"/>
  <c r="C76" i="1"/>
  <c r="C36" i="1"/>
  <c r="C65" i="1"/>
  <c r="C63" i="1"/>
  <c r="C61" i="1"/>
  <c r="C58" i="1"/>
  <c r="C56" i="1"/>
  <c r="C66" i="1"/>
  <c r="C64" i="1"/>
  <c r="C62" i="1"/>
  <c r="C60" i="1"/>
  <c r="C59" i="1"/>
  <c r="C57" i="1"/>
  <c r="C46" i="1"/>
  <c r="C45" i="1"/>
  <c r="C44" i="1"/>
  <c r="C43" i="1"/>
  <c r="C42" i="1"/>
  <c r="C41" i="1"/>
  <c r="C40" i="1"/>
  <c r="C39" i="1"/>
  <c r="C38" i="1"/>
  <c r="C37" i="1"/>
  <c r="A46" i="1"/>
  <c r="A45" i="1"/>
  <c r="A44" i="1"/>
  <c r="A43" i="1"/>
  <c r="A42" i="1"/>
  <c r="A41" i="1"/>
  <c r="A40" i="1"/>
  <c r="A39" i="1"/>
  <c r="A38" i="1"/>
  <c r="A37" i="1"/>
  <c r="A36" i="1"/>
  <c r="C22" i="1"/>
  <c r="C21" i="1"/>
  <c r="C20" i="1"/>
  <c r="C19" i="1"/>
  <c r="C26" i="1"/>
  <c r="C25" i="1"/>
  <c r="C24" i="1"/>
  <c r="C23" i="1"/>
  <c r="C18" i="1"/>
  <c r="C17" i="1"/>
  <c r="C16" i="1"/>
  <c r="G16" i="1" s="1"/>
  <c r="A26" i="1"/>
  <c r="A25" i="1"/>
  <c r="A24" i="1"/>
  <c r="A23" i="1"/>
  <c r="A22" i="1"/>
  <c r="A21" i="1"/>
  <c r="A20" i="1"/>
  <c r="A19" i="1"/>
  <c r="A18" i="1"/>
  <c r="A17" i="1"/>
  <c r="A16" i="1"/>
  <c r="R7" i="1"/>
  <c r="R6" i="1"/>
  <c r="R8" i="1"/>
  <c r="E95" i="2"/>
  <c r="F95" i="2"/>
  <c r="G95" i="2"/>
  <c r="H95" i="2"/>
  <c r="I95" i="2"/>
  <c r="J95" i="2"/>
  <c r="K95" i="2"/>
  <c r="L95" i="2"/>
  <c r="M95" i="2"/>
  <c r="N95" i="2"/>
  <c r="E96" i="2"/>
  <c r="F96" i="2"/>
  <c r="G96" i="2"/>
  <c r="H96" i="2"/>
  <c r="I96" i="2"/>
  <c r="J96" i="2"/>
  <c r="K96" i="2"/>
  <c r="L96" i="2"/>
  <c r="M96" i="2"/>
  <c r="N96" i="2"/>
  <c r="D96" i="2"/>
  <c r="D95" i="2"/>
  <c r="E88" i="2"/>
  <c r="F88" i="2"/>
  <c r="G88" i="2"/>
  <c r="H88" i="2"/>
  <c r="I88" i="2"/>
  <c r="J88" i="2"/>
  <c r="K88" i="2"/>
  <c r="L88" i="2"/>
  <c r="M88" i="2"/>
  <c r="N88" i="2"/>
  <c r="D88" i="2"/>
  <c r="D88" i="4"/>
  <c r="E88" i="4"/>
  <c r="F88" i="4"/>
  <c r="G88" i="4"/>
  <c r="H88" i="4"/>
  <c r="I88" i="4"/>
  <c r="J88" i="4"/>
  <c r="K88" i="4"/>
  <c r="L88" i="4"/>
  <c r="M88" i="4"/>
  <c r="N88" i="4"/>
  <c r="D89" i="4"/>
  <c r="E89" i="4"/>
  <c r="F89" i="4"/>
  <c r="G89" i="4"/>
  <c r="H89" i="4"/>
  <c r="I89" i="4"/>
  <c r="J89" i="4"/>
  <c r="K89" i="4"/>
  <c r="L89" i="4"/>
  <c r="M89" i="4"/>
  <c r="N89" i="4"/>
  <c r="C89" i="4"/>
  <c r="C88" i="4"/>
  <c r="D78" i="4"/>
  <c r="E78" i="4"/>
  <c r="F78" i="4"/>
  <c r="G78" i="4"/>
  <c r="H78" i="4"/>
  <c r="I78" i="4"/>
  <c r="J78" i="4"/>
  <c r="K78" i="4"/>
  <c r="L78" i="4"/>
  <c r="M78" i="4"/>
  <c r="N78" i="4"/>
  <c r="D79" i="4"/>
  <c r="E79" i="4"/>
  <c r="F79" i="4"/>
  <c r="G79" i="4"/>
  <c r="H79" i="4"/>
  <c r="I79" i="4"/>
  <c r="J79" i="4"/>
  <c r="K79" i="4"/>
  <c r="L79" i="4"/>
  <c r="M79" i="4"/>
  <c r="N79" i="4"/>
  <c r="C79" i="4"/>
  <c r="C78" i="4"/>
  <c r="D61" i="4"/>
  <c r="E61" i="4"/>
  <c r="F61" i="4"/>
  <c r="G61" i="4"/>
  <c r="H61" i="4"/>
  <c r="H69" i="4" s="1"/>
  <c r="I61" i="4"/>
  <c r="J61" i="4"/>
  <c r="K61" i="4"/>
  <c r="L61" i="4"/>
  <c r="L69" i="4" s="1"/>
  <c r="M61" i="4"/>
  <c r="N61" i="4"/>
  <c r="C61" i="4"/>
  <c r="C98" i="4" s="1"/>
  <c r="E53" i="4"/>
  <c r="F53" i="4"/>
  <c r="G53" i="4"/>
  <c r="H53" i="4"/>
  <c r="I53" i="4"/>
  <c r="J53" i="4"/>
  <c r="K53" i="4"/>
  <c r="L53" i="4"/>
  <c r="M53" i="4"/>
  <c r="N53" i="4"/>
  <c r="E54" i="4"/>
  <c r="F54" i="4"/>
  <c r="G54" i="4"/>
  <c r="H54" i="4"/>
  <c r="I54" i="4"/>
  <c r="J54" i="4"/>
  <c r="K54" i="4"/>
  <c r="L54" i="4"/>
  <c r="M54" i="4"/>
  <c r="N54" i="4"/>
  <c r="D54" i="4"/>
  <c r="D53" i="4"/>
  <c r="G25" i="1" l="1"/>
  <c r="G17" i="1"/>
  <c r="H111" i="7"/>
  <c r="I111" i="7" s="1"/>
  <c r="J111" i="7" s="1"/>
  <c r="H109" i="7"/>
  <c r="I109" i="7" s="1"/>
  <c r="H117" i="7"/>
  <c r="I117" i="7" s="1"/>
  <c r="J117" i="7" s="1"/>
  <c r="H115" i="7"/>
  <c r="I115" i="7" s="1"/>
  <c r="J115" i="7" s="1"/>
  <c r="H113" i="7"/>
  <c r="I113" i="7" s="1"/>
  <c r="J113" i="7" s="1"/>
  <c r="H220" i="7"/>
  <c r="I220" i="7" s="1"/>
  <c r="J220" i="7" s="1"/>
  <c r="H214" i="7"/>
  <c r="I214" i="7" s="1"/>
  <c r="H218" i="7"/>
  <c r="I218" i="7" s="1"/>
  <c r="J218" i="7" s="1"/>
  <c r="H221" i="7"/>
  <c r="I221" i="7" s="1"/>
  <c r="J221" i="7" s="1"/>
  <c r="H25" i="7"/>
  <c r="I25" i="7" s="1"/>
  <c r="H29" i="7"/>
  <c r="I29" i="7" s="1"/>
  <c r="J29" i="7" s="1"/>
  <c r="H33" i="7"/>
  <c r="I33" i="7" s="1"/>
  <c r="J33" i="7" s="1"/>
  <c r="H27" i="7"/>
  <c r="I27" i="7" s="1"/>
  <c r="J27" i="7" s="1"/>
  <c r="H31" i="7"/>
  <c r="I31" i="7" s="1"/>
  <c r="J31" i="7" s="1"/>
  <c r="H235" i="7"/>
  <c r="I235" i="7" s="1"/>
  <c r="H241" i="7"/>
  <c r="I241" i="7" s="1"/>
  <c r="J241" i="7" s="1"/>
  <c r="H237" i="7"/>
  <c r="I237" i="7" s="1"/>
  <c r="J237" i="7" s="1"/>
  <c r="H238" i="7"/>
  <c r="I238" i="7" s="1"/>
  <c r="J238" i="7" s="1"/>
  <c r="H242" i="7"/>
  <c r="I242" i="7" s="1"/>
  <c r="J242" i="7" s="1"/>
  <c r="H201" i="7"/>
  <c r="I201" i="7" s="1"/>
  <c r="J201" i="7" s="1"/>
  <c r="H194" i="7"/>
  <c r="I194" i="7" s="1"/>
  <c r="J194" i="7" s="1"/>
  <c r="H197" i="7"/>
  <c r="I197" i="7" s="1"/>
  <c r="J197" i="7" s="1"/>
  <c r="H196" i="7"/>
  <c r="I196" i="7" s="1"/>
  <c r="J196" i="7" s="1"/>
  <c r="H200" i="7"/>
  <c r="I200" i="7" s="1"/>
  <c r="J200" i="7" s="1"/>
  <c r="H193" i="7"/>
  <c r="I193" i="7" s="1"/>
  <c r="H199" i="7"/>
  <c r="I199" i="7" s="1"/>
  <c r="J199" i="7" s="1"/>
  <c r="H181" i="7"/>
  <c r="I181" i="7" s="1"/>
  <c r="J181" i="7" s="1"/>
  <c r="H73" i="7"/>
  <c r="I73" i="7" s="1"/>
  <c r="J73" i="7" s="1"/>
  <c r="M69" i="4"/>
  <c r="G91" i="5"/>
  <c r="H87" i="5" s="1"/>
  <c r="I87" i="5" s="1"/>
  <c r="J87" i="5" s="1"/>
  <c r="D51" i="7"/>
  <c r="E51" i="7" s="1"/>
  <c r="F51" i="7" s="1"/>
  <c r="H72" i="7"/>
  <c r="I72" i="7" s="1"/>
  <c r="J72" i="7" s="1"/>
  <c r="H135" i="7"/>
  <c r="I135" i="7" s="1"/>
  <c r="J135" i="7" s="1"/>
  <c r="H48" i="7"/>
  <c r="I48" i="7" s="1"/>
  <c r="J48" i="7" s="1"/>
  <c r="H50" i="7"/>
  <c r="I50" i="7" s="1"/>
  <c r="J50" i="7" s="1"/>
  <c r="H222" i="7"/>
  <c r="I222" i="7" s="1"/>
  <c r="J222" i="7" s="1"/>
  <c r="H75" i="7"/>
  <c r="I75" i="7" s="1"/>
  <c r="J75" i="7" s="1"/>
  <c r="G21" i="1"/>
  <c r="H34" i="7"/>
  <c r="I34" i="7" s="1"/>
  <c r="J34" i="7" s="1"/>
  <c r="H198" i="7"/>
  <c r="I198" i="7" s="1"/>
  <c r="J198" i="7" s="1"/>
  <c r="H179" i="7"/>
  <c r="I179" i="7" s="1"/>
  <c r="J179" i="7" s="1"/>
  <c r="H68" i="7"/>
  <c r="I68" i="7" s="1"/>
  <c r="J68" i="7" s="1"/>
  <c r="H219" i="7"/>
  <c r="I219" i="7" s="1"/>
  <c r="J219" i="7" s="1"/>
  <c r="H244" i="7"/>
  <c r="I244" i="7" s="1"/>
  <c r="J244" i="7" s="1"/>
  <c r="G183" i="7"/>
  <c r="H131" i="7"/>
  <c r="I131" i="7" s="1"/>
  <c r="J131" i="7" s="1"/>
  <c r="H243" i="7"/>
  <c r="I243" i="7" s="1"/>
  <c r="J243" i="7" s="1"/>
  <c r="H202" i="7"/>
  <c r="I202" i="7" s="1"/>
  <c r="J202" i="7" s="1"/>
  <c r="H177" i="7"/>
  <c r="I177" i="7" s="1"/>
  <c r="J177" i="7" s="1"/>
  <c r="H137" i="7"/>
  <c r="I137" i="7" s="1"/>
  <c r="J137" i="7" s="1"/>
  <c r="H133" i="7"/>
  <c r="I133" i="7" s="1"/>
  <c r="J133" i="7" s="1"/>
  <c r="H223" i="7"/>
  <c r="I223" i="7" s="1"/>
  <c r="J223" i="7" s="1"/>
  <c r="G57" i="7"/>
  <c r="I69" i="4"/>
  <c r="D48" i="5"/>
  <c r="H52" i="7"/>
  <c r="I52" i="7" s="1"/>
  <c r="J52" i="7" s="1"/>
  <c r="H70" i="7"/>
  <c r="I70" i="7" s="1"/>
  <c r="J70" i="7" s="1"/>
  <c r="H54" i="7"/>
  <c r="I54" i="7" s="1"/>
  <c r="J54" i="7" s="1"/>
  <c r="H30" i="7"/>
  <c r="I30" i="7" s="1"/>
  <c r="J30" i="7" s="1"/>
  <c r="J67" i="7"/>
  <c r="H26" i="7"/>
  <c r="I26" i="7" s="1"/>
  <c r="J26" i="7" s="1"/>
  <c r="I195" i="7"/>
  <c r="J195" i="7" s="1"/>
  <c r="H195" i="7"/>
  <c r="G99" i="7"/>
  <c r="H240" i="7"/>
  <c r="I240" i="7" s="1"/>
  <c r="J240" i="7" s="1"/>
  <c r="H74" i="7"/>
  <c r="I74" i="7" s="1"/>
  <c r="J74" i="7" s="1"/>
  <c r="G141" i="7"/>
  <c r="K60" i="1"/>
  <c r="H76" i="7"/>
  <c r="I76" i="7" s="1"/>
  <c r="J76" i="7" s="1"/>
  <c r="H47" i="7"/>
  <c r="I47" i="7" s="1"/>
  <c r="J47" i="7" s="1"/>
  <c r="H32" i="7"/>
  <c r="I32" i="7" s="1"/>
  <c r="J32" i="7" s="1"/>
  <c r="H217" i="7"/>
  <c r="I217" i="7" s="1"/>
  <c r="J217" i="7" s="1"/>
  <c r="H215" i="7"/>
  <c r="I215" i="7" s="1"/>
  <c r="J215" i="7" s="1"/>
  <c r="H239" i="7"/>
  <c r="I239" i="7" s="1"/>
  <c r="J239" i="7" s="1"/>
  <c r="H216" i="7"/>
  <c r="I216" i="7" s="1"/>
  <c r="J216" i="7" s="1"/>
  <c r="G162" i="7"/>
  <c r="H151" i="7" s="1"/>
  <c r="I151" i="7" s="1"/>
  <c r="H173" i="7"/>
  <c r="I173" i="7" s="1"/>
  <c r="J173" i="7" s="1"/>
  <c r="H71" i="7"/>
  <c r="I71" i="7" s="1"/>
  <c r="J71" i="7" s="1"/>
  <c r="H236" i="7"/>
  <c r="I236" i="7" s="1"/>
  <c r="J236" i="7" s="1"/>
  <c r="H28" i="7"/>
  <c r="I28" i="7" s="1"/>
  <c r="J28" i="7" s="1"/>
  <c r="J109" i="7"/>
  <c r="H118" i="7"/>
  <c r="I118" i="7" s="1"/>
  <c r="J118" i="7" s="1"/>
  <c r="H112" i="7"/>
  <c r="I112" i="7" s="1"/>
  <c r="J112" i="7" s="1"/>
  <c r="H114" i="7"/>
  <c r="I114" i="7" s="1"/>
  <c r="J114" i="7" s="1"/>
  <c r="H116" i="7"/>
  <c r="I116" i="7" s="1"/>
  <c r="J116" i="7" s="1"/>
  <c r="H110" i="7"/>
  <c r="I110" i="7" s="1"/>
  <c r="G48" i="4"/>
  <c r="H41" i="4" s="1"/>
  <c r="I41" i="4" s="1"/>
  <c r="J41" i="4" s="1"/>
  <c r="S54" i="4"/>
  <c r="O54" i="4"/>
  <c r="Q54" i="4"/>
  <c r="U54" i="4"/>
  <c r="P54" i="4"/>
  <c r="T54" i="4"/>
  <c r="F36" i="4"/>
  <c r="X6" i="4" s="1"/>
  <c r="W6" i="4"/>
  <c r="Q53" i="4"/>
  <c r="P53" i="4"/>
  <c r="U53" i="4"/>
  <c r="T53" i="4"/>
  <c r="O53" i="4"/>
  <c r="S53" i="4"/>
  <c r="H22" i="4"/>
  <c r="I22" i="4" s="1"/>
  <c r="J22" i="4" s="1"/>
  <c r="H39" i="4"/>
  <c r="I39" i="4" s="1"/>
  <c r="J39" i="4" s="1"/>
  <c r="H46" i="4"/>
  <c r="I46" i="4" s="1"/>
  <c r="J46" i="4" s="1"/>
  <c r="H42" i="4"/>
  <c r="I42" i="4" s="1"/>
  <c r="J42" i="4" s="1"/>
  <c r="G27" i="4"/>
  <c r="H24" i="4" s="1"/>
  <c r="I24" i="4" s="1"/>
  <c r="J24" i="4" s="1"/>
  <c r="F234" i="7"/>
  <c r="D87" i="7"/>
  <c r="E87" i="7" s="1"/>
  <c r="F87" i="7" s="1"/>
  <c r="D244" i="7"/>
  <c r="E244" i="7" s="1"/>
  <c r="F244" i="7" s="1"/>
  <c r="D33" i="7"/>
  <c r="E33" i="7" s="1"/>
  <c r="F33" i="7" s="1"/>
  <c r="D152" i="7"/>
  <c r="E152" i="7" s="1"/>
  <c r="F152" i="7" s="1"/>
  <c r="D156" i="7"/>
  <c r="E156" i="7" s="1"/>
  <c r="F156" i="7" s="1"/>
  <c r="D176" i="7"/>
  <c r="E176" i="7" s="1"/>
  <c r="F176" i="7" s="1"/>
  <c r="D238" i="7"/>
  <c r="E238" i="7" s="1"/>
  <c r="F238" i="7" s="1"/>
  <c r="D200" i="7"/>
  <c r="E200" i="7" s="1"/>
  <c r="F200" i="7" s="1"/>
  <c r="D25" i="7"/>
  <c r="E25" i="7" s="1"/>
  <c r="D196" i="7"/>
  <c r="E196" i="7" s="1"/>
  <c r="F196" i="7" s="1"/>
  <c r="D150" i="7"/>
  <c r="E150" i="7" s="1"/>
  <c r="D239" i="7"/>
  <c r="E239" i="7" s="1"/>
  <c r="F239" i="7" s="1"/>
  <c r="D68" i="7"/>
  <c r="E68" i="7" s="1"/>
  <c r="F68" i="7" s="1"/>
  <c r="D193" i="7"/>
  <c r="E193" i="7" s="1"/>
  <c r="F193" i="7" s="1"/>
  <c r="D75" i="7"/>
  <c r="E75" i="7" s="1"/>
  <c r="F75" i="7" s="1"/>
  <c r="D160" i="7"/>
  <c r="E160" i="7" s="1"/>
  <c r="F160" i="7" s="1"/>
  <c r="D159" i="7"/>
  <c r="E159" i="7" s="1"/>
  <c r="F159" i="7" s="1"/>
  <c r="D153" i="7"/>
  <c r="E153" i="7" s="1"/>
  <c r="F153" i="7" s="1"/>
  <c r="D179" i="7"/>
  <c r="E179" i="7" s="1"/>
  <c r="F179" i="7" s="1"/>
  <c r="D241" i="7"/>
  <c r="E241" i="7" s="1"/>
  <c r="F241" i="7" s="1"/>
  <c r="D172" i="7"/>
  <c r="E172" i="7" s="1"/>
  <c r="F172" i="7" s="1"/>
  <c r="F150" i="7"/>
  <c r="D115" i="7"/>
  <c r="E115" i="7" s="1"/>
  <c r="F115" i="7" s="1"/>
  <c r="D111" i="7"/>
  <c r="E111" i="7" s="1"/>
  <c r="F111" i="7" s="1"/>
  <c r="D108" i="7"/>
  <c r="E108" i="7" s="1"/>
  <c r="D114" i="7"/>
  <c r="E114" i="7" s="1"/>
  <c r="F114" i="7" s="1"/>
  <c r="F171" i="7"/>
  <c r="D113" i="7"/>
  <c r="E113" i="7" s="1"/>
  <c r="F113" i="7" s="1"/>
  <c r="D109" i="7"/>
  <c r="E109" i="7" s="1"/>
  <c r="F109" i="7" s="1"/>
  <c r="D116" i="7"/>
  <c r="E116" i="7" s="1"/>
  <c r="F116" i="7" s="1"/>
  <c r="D47" i="7"/>
  <c r="E47" i="7" s="1"/>
  <c r="F47" i="7" s="1"/>
  <c r="D55" i="7"/>
  <c r="E55" i="7" s="1"/>
  <c r="F55" i="7" s="1"/>
  <c r="D52" i="7"/>
  <c r="E52" i="7" s="1"/>
  <c r="F52" i="7" s="1"/>
  <c r="D48" i="7"/>
  <c r="E48" i="7" s="1"/>
  <c r="F48" i="7" s="1"/>
  <c r="D45" i="7"/>
  <c r="E45" i="7" s="1"/>
  <c r="D97" i="7"/>
  <c r="E97" i="7" s="1"/>
  <c r="F97" i="7" s="1"/>
  <c r="D66" i="7"/>
  <c r="E66" i="7" s="1"/>
  <c r="D92" i="7"/>
  <c r="E92" i="7" s="1"/>
  <c r="F92" i="7" s="1"/>
  <c r="D73" i="7"/>
  <c r="E73" i="7" s="1"/>
  <c r="F73" i="7" s="1"/>
  <c r="D72" i="7"/>
  <c r="E72" i="7" s="1"/>
  <c r="F72" i="7" s="1"/>
  <c r="D69" i="7"/>
  <c r="E69" i="7" s="1"/>
  <c r="F69" i="7" s="1"/>
  <c r="D89" i="7"/>
  <c r="E89" i="7" s="1"/>
  <c r="F89" i="7" s="1"/>
  <c r="D93" i="7"/>
  <c r="E93" i="7" s="1"/>
  <c r="F93" i="7" s="1"/>
  <c r="D135" i="7"/>
  <c r="E135" i="7" s="1"/>
  <c r="F135" i="7" s="1"/>
  <c r="D129" i="7"/>
  <c r="E129" i="7" s="1"/>
  <c r="D130" i="7"/>
  <c r="E130" i="7" s="1"/>
  <c r="F130" i="7" s="1"/>
  <c r="D215" i="7"/>
  <c r="E215" i="7" s="1"/>
  <c r="F215" i="7" s="1"/>
  <c r="D223" i="7"/>
  <c r="E223" i="7" s="1"/>
  <c r="F223" i="7" s="1"/>
  <c r="D213" i="7"/>
  <c r="E213" i="7" s="1"/>
  <c r="D220" i="7"/>
  <c r="E220" i="7" s="1"/>
  <c r="F220" i="7" s="1"/>
  <c r="D216" i="7"/>
  <c r="E216" i="7" s="1"/>
  <c r="F216" i="7" s="1"/>
  <c r="D76" i="7"/>
  <c r="E76" i="7" s="1"/>
  <c r="F76" i="7" s="1"/>
  <c r="D214" i="7"/>
  <c r="E214" i="7" s="1"/>
  <c r="F214" i="7" s="1"/>
  <c r="D180" i="7"/>
  <c r="E180" i="7" s="1"/>
  <c r="F180" i="7" s="1"/>
  <c r="D138" i="7"/>
  <c r="E138" i="7" s="1"/>
  <c r="F138" i="7" s="1"/>
  <c r="D221" i="7"/>
  <c r="E221" i="7" s="1"/>
  <c r="F221" i="7" s="1"/>
  <c r="D54" i="7"/>
  <c r="E54" i="7" s="1"/>
  <c r="F54" i="7" s="1"/>
  <c r="D174" i="7"/>
  <c r="E174" i="7" s="1"/>
  <c r="F174" i="7" s="1"/>
  <c r="D222" i="7"/>
  <c r="E222" i="7" s="1"/>
  <c r="F222" i="7" s="1"/>
  <c r="D118" i="7"/>
  <c r="E118" i="7" s="1"/>
  <c r="F118" i="7" s="1"/>
  <c r="D117" i="7"/>
  <c r="E117" i="7" s="1"/>
  <c r="F117" i="7" s="1"/>
  <c r="D46" i="7"/>
  <c r="E46" i="7" s="1"/>
  <c r="F46" i="7" s="1"/>
  <c r="D96" i="7"/>
  <c r="E96" i="7" s="1"/>
  <c r="F96" i="7" s="1"/>
  <c r="D110" i="7"/>
  <c r="E110" i="7" s="1"/>
  <c r="F110" i="7" s="1"/>
  <c r="D154" i="7"/>
  <c r="E154" i="7" s="1"/>
  <c r="F154" i="7" s="1"/>
  <c r="D88" i="7"/>
  <c r="E88" i="7" s="1"/>
  <c r="F88" i="7" s="1"/>
  <c r="D31" i="7"/>
  <c r="E31" i="7" s="1"/>
  <c r="F31" i="7" s="1"/>
  <c r="D24" i="7"/>
  <c r="E24" i="7" s="1"/>
  <c r="F24" i="7" s="1"/>
  <c r="D27" i="7"/>
  <c r="E27" i="7" s="1"/>
  <c r="F27" i="7" s="1"/>
  <c r="D34" i="7"/>
  <c r="E34" i="7" s="1"/>
  <c r="F34" i="7" s="1"/>
  <c r="D26" i="7"/>
  <c r="E26" i="7" s="1"/>
  <c r="F26" i="7" s="1"/>
  <c r="D178" i="7"/>
  <c r="E178" i="7" s="1"/>
  <c r="F178" i="7" s="1"/>
  <c r="D158" i="7"/>
  <c r="E158" i="7" s="1"/>
  <c r="F158" i="7" s="1"/>
  <c r="D240" i="7"/>
  <c r="E240" i="7" s="1"/>
  <c r="F240" i="7" s="1"/>
  <c r="D155" i="7"/>
  <c r="E155" i="7" s="1"/>
  <c r="F155" i="7" s="1"/>
  <c r="D95" i="7"/>
  <c r="E95" i="7" s="1"/>
  <c r="F95" i="7" s="1"/>
  <c r="D132" i="7"/>
  <c r="E132" i="7" s="1"/>
  <c r="F132" i="7" s="1"/>
  <c r="D243" i="7"/>
  <c r="E243" i="7" s="1"/>
  <c r="F243" i="7" s="1"/>
  <c r="D151" i="7"/>
  <c r="E151" i="7" s="1"/>
  <c r="F151" i="7" s="1"/>
  <c r="D74" i="7"/>
  <c r="E74" i="7" s="1"/>
  <c r="F74" i="7" s="1"/>
  <c r="D134" i="7"/>
  <c r="E134" i="7" s="1"/>
  <c r="F134" i="7" s="1"/>
  <c r="D173" i="7"/>
  <c r="E173" i="7" s="1"/>
  <c r="F173" i="7" s="1"/>
  <c r="D91" i="7"/>
  <c r="E91" i="7" s="1"/>
  <c r="F91" i="7" s="1"/>
  <c r="D202" i="7"/>
  <c r="E202" i="7" s="1"/>
  <c r="F202" i="7" s="1"/>
  <c r="D199" i="7"/>
  <c r="E199" i="7" s="1"/>
  <c r="F199" i="7" s="1"/>
  <c r="D194" i="7"/>
  <c r="E194" i="7" s="1"/>
  <c r="F194" i="7" s="1"/>
  <c r="D195" i="7"/>
  <c r="E195" i="7" s="1"/>
  <c r="F195" i="7" s="1"/>
  <c r="D192" i="7"/>
  <c r="E192" i="7" s="1"/>
  <c r="D198" i="7"/>
  <c r="E198" i="7" s="1"/>
  <c r="F198" i="7" s="1"/>
  <c r="D237" i="7"/>
  <c r="E237" i="7" s="1"/>
  <c r="F237" i="7" s="1"/>
  <c r="D235" i="7"/>
  <c r="E235" i="7" s="1"/>
  <c r="F235" i="7" s="1"/>
  <c r="D201" i="7"/>
  <c r="E201" i="7" s="1"/>
  <c r="F201" i="7" s="1"/>
  <c r="D175" i="7"/>
  <c r="E175" i="7" s="1"/>
  <c r="F175" i="7" s="1"/>
  <c r="D133" i="7"/>
  <c r="E133" i="7" s="1"/>
  <c r="F133" i="7" s="1"/>
  <c r="D71" i="7"/>
  <c r="E71" i="7" s="1"/>
  <c r="F71" i="7" s="1"/>
  <c r="D28" i="7"/>
  <c r="E28" i="7" s="1"/>
  <c r="F28" i="7" s="1"/>
  <c r="D50" i="7"/>
  <c r="E50" i="7" s="1"/>
  <c r="F50" i="7" s="1"/>
  <c r="D219" i="7"/>
  <c r="E219" i="7" s="1"/>
  <c r="F219" i="7" s="1"/>
  <c r="D218" i="7"/>
  <c r="E218" i="7" s="1"/>
  <c r="F218" i="7" s="1"/>
  <c r="D30" i="7"/>
  <c r="E30" i="7" s="1"/>
  <c r="F30" i="7" s="1"/>
  <c r="D242" i="7"/>
  <c r="E242" i="7" s="1"/>
  <c r="F242" i="7" s="1"/>
  <c r="D181" i="7"/>
  <c r="E181" i="7" s="1"/>
  <c r="F181" i="7" s="1"/>
  <c r="D67" i="7"/>
  <c r="E67" i="7" s="1"/>
  <c r="F67" i="7" s="1"/>
  <c r="D49" i="7"/>
  <c r="E49" i="7" s="1"/>
  <c r="F49" i="7" s="1"/>
  <c r="D139" i="7"/>
  <c r="E139" i="7" s="1"/>
  <c r="F139" i="7" s="1"/>
  <c r="D217" i="7"/>
  <c r="E217" i="7" s="1"/>
  <c r="F217" i="7" s="1"/>
  <c r="D177" i="7"/>
  <c r="E177" i="7" s="1"/>
  <c r="F177" i="7" s="1"/>
  <c r="D137" i="7"/>
  <c r="E137" i="7" s="1"/>
  <c r="F137" i="7" s="1"/>
  <c r="D112" i="7"/>
  <c r="E112" i="7" s="1"/>
  <c r="F112" i="7" s="1"/>
  <c r="D32" i="7"/>
  <c r="E32" i="7" s="1"/>
  <c r="F32" i="7" s="1"/>
  <c r="D90" i="7"/>
  <c r="E90" i="7" s="1"/>
  <c r="F90" i="7" s="1"/>
  <c r="F25" i="7"/>
  <c r="D66" i="2"/>
  <c r="E66" i="2" s="1"/>
  <c r="F66" i="2" s="1"/>
  <c r="G49" i="5"/>
  <c r="D88" i="5"/>
  <c r="E88" i="5" s="1"/>
  <c r="F88" i="5" s="1"/>
  <c r="G70" i="5"/>
  <c r="K79" i="1"/>
  <c r="Y6" i="4"/>
  <c r="D15" i="4"/>
  <c r="E15" i="4" s="1"/>
  <c r="D22" i="4"/>
  <c r="E22" i="4" s="1"/>
  <c r="F22" i="4" s="1"/>
  <c r="D18" i="4"/>
  <c r="E18" i="4" s="1"/>
  <c r="F18" i="4" s="1"/>
  <c r="D26" i="4"/>
  <c r="E26" i="4" s="1"/>
  <c r="F26" i="4" s="1"/>
  <c r="D25" i="4"/>
  <c r="E25" i="4" s="1"/>
  <c r="F25" i="4" s="1"/>
  <c r="D17" i="4"/>
  <c r="E17" i="4" s="1"/>
  <c r="F17" i="4" s="1"/>
  <c r="D20" i="4"/>
  <c r="E20" i="4" s="1"/>
  <c r="F20" i="4" s="1"/>
  <c r="D24" i="4"/>
  <c r="E24" i="4" s="1"/>
  <c r="F24" i="4" s="1"/>
  <c r="D16" i="4"/>
  <c r="E16" i="4" s="1"/>
  <c r="F16" i="4" s="1"/>
  <c r="G69" i="4"/>
  <c r="D19" i="4"/>
  <c r="E19" i="4" s="1"/>
  <c r="F19" i="4" s="1"/>
  <c r="D21" i="4"/>
  <c r="E21" i="4" s="1"/>
  <c r="F21" i="4" s="1"/>
  <c r="E69" i="4"/>
  <c r="N69" i="4"/>
  <c r="J69" i="4"/>
  <c r="F69" i="4"/>
  <c r="D44" i="2"/>
  <c r="D62" i="2"/>
  <c r="E62" i="2" s="1"/>
  <c r="F62" i="2" s="1"/>
  <c r="D70" i="2"/>
  <c r="E70" i="2" s="1"/>
  <c r="F70" i="2" s="1"/>
  <c r="D46" i="2"/>
  <c r="D49" i="2"/>
  <c r="D69" i="2"/>
  <c r="E69" i="2" s="1"/>
  <c r="F69" i="2" s="1"/>
  <c r="D60" i="2"/>
  <c r="E60" i="2" s="1"/>
  <c r="D63" i="2"/>
  <c r="E63" i="2" s="1"/>
  <c r="F63" i="2" s="1"/>
  <c r="D67" i="2"/>
  <c r="E67" i="2" s="1"/>
  <c r="F67" i="2" s="1"/>
  <c r="D65" i="2"/>
  <c r="E65" i="2" s="1"/>
  <c r="F65" i="2" s="1"/>
  <c r="D39" i="2"/>
  <c r="E39" i="2" s="1"/>
  <c r="F39" i="2" s="1"/>
  <c r="D64" i="2"/>
  <c r="E64" i="2" s="1"/>
  <c r="F64" i="2" s="1"/>
  <c r="D68" i="2"/>
  <c r="E68" i="2" s="1"/>
  <c r="F68" i="2" s="1"/>
  <c r="D61" i="2"/>
  <c r="E61" i="2" s="1"/>
  <c r="F61" i="2" s="1"/>
  <c r="D40" i="2"/>
  <c r="D42" i="2"/>
  <c r="D48" i="2"/>
  <c r="D41" i="2"/>
  <c r="D45" i="2"/>
  <c r="D47" i="2"/>
  <c r="D43" i="2"/>
  <c r="H65" i="5"/>
  <c r="I65" i="5" s="1"/>
  <c r="J65" i="5" s="1"/>
  <c r="H67" i="5"/>
  <c r="I67" i="5" s="1"/>
  <c r="J67" i="5" s="1"/>
  <c r="H46" i="5"/>
  <c r="I46" i="5" s="1"/>
  <c r="J46" i="5" s="1"/>
  <c r="D66" i="5"/>
  <c r="E66" i="5" s="1"/>
  <c r="F66" i="5" s="1"/>
  <c r="D67" i="5"/>
  <c r="E67" i="5" s="1"/>
  <c r="F67" i="5" s="1"/>
  <c r="D64" i="5"/>
  <c r="E64" i="5" s="1"/>
  <c r="D68" i="5"/>
  <c r="E68" i="5" s="1"/>
  <c r="F68" i="5" s="1"/>
  <c r="F43" i="5"/>
  <c r="D69" i="5"/>
  <c r="E69" i="5" s="1"/>
  <c r="D46" i="5"/>
  <c r="D44" i="5"/>
  <c r="D65" i="5"/>
  <c r="E65" i="5" s="1"/>
  <c r="F65" i="5" s="1"/>
  <c r="H86" i="5"/>
  <c r="I86" i="5" s="1"/>
  <c r="J86" i="5" s="1"/>
  <c r="D86" i="5"/>
  <c r="E86" i="5" s="1"/>
  <c r="F86" i="5" s="1"/>
  <c r="D90" i="5"/>
  <c r="E90" i="5" s="1"/>
  <c r="D85" i="5"/>
  <c r="E85" i="5" s="1"/>
  <c r="H44" i="5"/>
  <c r="I44" i="5" s="1"/>
  <c r="J44" i="5" s="1"/>
  <c r="H48" i="5"/>
  <c r="I48" i="5" s="1"/>
  <c r="J48" i="5" s="1"/>
  <c r="D47" i="5"/>
  <c r="D87" i="5"/>
  <c r="E87" i="5" s="1"/>
  <c r="F87" i="5" s="1"/>
  <c r="D45" i="5"/>
  <c r="G44" i="1"/>
  <c r="K44" i="1"/>
  <c r="G66" i="1"/>
  <c r="K66" i="1"/>
  <c r="G63" i="1"/>
  <c r="K63" i="1"/>
  <c r="G80" i="1"/>
  <c r="K80" i="1"/>
  <c r="K41" i="1"/>
  <c r="G56" i="1"/>
  <c r="K56" i="1"/>
  <c r="K65" i="1"/>
  <c r="K82" i="1"/>
  <c r="K38" i="1"/>
  <c r="K42" i="1"/>
  <c r="K46" i="1"/>
  <c r="K62" i="1"/>
  <c r="K58" i="1"/>
  <c r="G36" i="1"/>
  <c r="K36" i="1"/>
  <c r="K83" i="1"/>
  <c r="G40" i="1"/>
  <c r="K40" i="1"/>
  <c r="G59" i="1"/>
  <c r="K59" i="1"/>
  <c r="G77" i="1"/>
  <c r="K77" i="1"/>
  <c r="K81" i="1"/>
  <c r="G86" i="1"/>
  <c r="K86" i="1"/>
  <c r="G37" i="1"/>
  <c r="K37" i="1"/>
  <c r="K45" i="1"/>
  <c r="G84" i="1"/>
  <c r="K84" i="1"/>
  <c r="K39" i="1"/>
  <c r="K43" i="1"/>
  <c r="K57" i="1"/>
  <c r="K64" i="1"/>
  <c r="K61" i="1"/>
  <c r="G76" i="1"/>
  <c r="K76" i="1"/>
  <c r="K78" i="1"/>
  <c r="K85" i="1"/>
  <c r="G65" i="1"/>
  <c r="G79" i="1"/>
  <c r="G62" i="1"/>
  <c r="G58" i="1"/>
  <c r="G81" i="1"/>
  <c r="G18" i="1"/>
  <c r="G26" i="1"/>
  <c r="G22" i="1"/>
  <c r="G41" i="1"/>
  <c r="G45" i="1"/>
  <c r="G60" i="1"/>
  <c r="G82" i="1"/>
  <c r="G23" i="1"/>
  <c r="G19" i="1"/>
  <c r="G38" i="1"/>
  <c r="G42" i="1"/>
  <c r="G46" i="1"/>
  <c r="G83" i="1"/>
  <c r="G24" i="1"/>
  <c r="G20" i="1"/>
  <c r="G39" i="1"/>
  <c r="G43" i="1"/>
  <c r="G57" i="1"/>
  <c r="G64" i="1"/>
  <c r="G61" i="1"/>
  <c r="G78" i="1"/>
  <c r="G85" i="1"/>
  <c r="K69" i="4"/>
  <c r="C67" i="1"/>
  <c r="D66" i="1" s="1"/>
  <c r="F66" i="1" s="1"/>
  <c r="C27" i="1"/>
  <c r="C47" i="1"/>
  <c r="D35" i="1" s="1"/>
  <c r="F35" i="1" s="1"/>
  <c r="C87" i="1"/>
  <c r="D79" i="1" s="1"/>
  <c r="K98" i="4"/>
  <c r="G98" i="4"/>
  <c r="N98" i="4"/>
  <c r="J98" i="4"/>
  <c r="F98" i="4"/>
  <c r="M98" i="4"/>
  <c r="I98" i="4"/>
  <c r="E98" i="4"/>
  <c r="D69" i="4"/>
  <c r="L98" i="4"/>
  <c r="H98" i="4"/>
  <c r="D98" i="4"/>
  <c r="O6" i="5"/>
  <c r="O6" i="4"/>
  <c r="Z6" i="4" s="1"/>
  <c r="O5" i="4"/>
  <c r="Z5" i="4" s="1"/>
  <c r="E124" i="2"/>
  <c r="F124" i="2"/>
  <c r="G124" i="2"/>
  <c r="H124" i="2"/>
  <c r="I124" i="2"/>
  <c r="J124" i="2"/>
  <c r="K124" i="2"/>
  <c r="L124" i="2"/>
  <c r="M124" i="2"/>
  <c r="N124" i="2"/>
  <c r="D124" i="2"/>
  <c r="E123" i="2"/>
  <c r="F123" i="2"/>
  <c r="G123" i="2"/>
  <c r="H123" i="2"/>
  <c r="I123" i="2"/>
  <c r="J123" i="2"/>
  <c r="K123" i="2"/>
  <c r="L123" i="2"/>
  <c r="M123" i="2"/>
  <c r="N123" i="2"/>
  <c r="D123" i="2"/>
  <c r="N114" i="2"/>
  <c r="N115" i="2"/>
  <c r="F114" i="2"/>
  <c r="G114" i="2"/>
  <c r="H114" i="2"/>
  <c r="J114" i="2"/>
  <c r="K114" i="2"/>
  <c r="L114" i="2"/>
  <c r="M114" i="2"/>
  <c r="F115" i="2"/>
  <c r="G115" i="2"/>
  <c r="H115" i="2"/>
  <c r="I115" i="2"/>
  <c r="J115" i="2"/>
  <c r="K115" i="2"/>
  <c r="L115" i="2"/>
  <c r="M115" i="2"/>
  <c r="E115" i="2"/>
  <c r="C5" i="2"/>
  <c r="C167" i="1"/>
  <c r="N125" i="5"/>
  <c r="O6" i="2"/>
  <c r="Z6" i="2" s="1"/>
  <c r="O7" i="2"/>
  <c r="D5" i="5"/>
  <c r="E5" i="5"/>
  <c r="F5" i="5"/>
  <c r="G5" i="5"/>
  <c r="H5" i="5"/>
  <c r="O7" i="5"/>
  <c r="O8" i="5"/>
  <c r="O5" i="1"/>
  <c r="Z5" i="1" s="1"/>
  <c r="O6" i="1"/>
  <c r="Z6" i="1" s="1"/>
  <c r="O7" i="1"/>
  <c r="O8" i="1"/>
  <c r="Z8" i="1" s="1"/>
  <c r="J151" i="7" l="1"/>
  <c r="J235" i="7"/>
  <c r="X325" i="7" s="1"/>
  <c r="Y325" i="7" s="1"/>
  <c r="AB325" i="7" s="1"/>
  <c r="W325" i="7"/>
  <c r="AA325" i="7" s="1"/>
  <c r="H44" i="4"/>
  <c r="I44" i="4" s="1"/>
  <c r="J44" i="4" s="1"/>
  <c r="H91" i="7"/>
  <c r="I91" i="7" s="1"/>
  <c r="J91" i="7" s="1"/>
  <c r="H88" i="7"/>
  <c r="I88" i="7" s="1"/>
  <c r="H96" i="7"/>
  <c r="I96" i="7" s="1"/>
  <c r="J96" i="7" s="1"/>
  <c r="H92" i="7"/>
  <c r="I92" i="7" s="1"/>
  <c r="J92" i="7" s="1"/>
  <c r="H94" i="7"/>
  <c r="I94" i="7" s="1"/>
  <c r="J94" i="7" s="1"/>
  <c r="H157" i="7"/>
  <c r="I157" i="7" s="1"/>
  <c r="J157" i="7" s="1"/>
  <c r="H45" i="4"/>
  <c r="I45" i="4" s="1"/>
  <c r="J45" i="4" s="1"/>
  <c r="H43" i="4"/>
  <c r="I43" i="4" s="1"/>
  <c r="J43" i="4" s="1"/>
  <c r="H89" i="7"/>
  <c r="I89" i="7" s="1"/>
  <c r="J89" i="7" s="1"/>
  <c r="H155" i="7"/>
  <c r="I155" i="7" s="1"/>
  <c r="J155" i="7" s="1"/>
  <c r="H159" i="7"/>
  <c r="I159" i="7" s="1"/>
  <c r="J159" i="7" s="1"/>
  <c r="H160" i="7"/>
  <c r="I160" i="7" s="1"/>
  <c r="J160" i="7" s="1"/>
  <c r="H152" i="7"/>
  <c r="I152" i="7" s="1"/>
  <c r="J152" i="7" s="1"/>
  <c r="H158" i="7"/>
  <c r="I158" i="7" s="1"/>
  <c r="J158" i="7" s="1"/>
  <c r="J25" i="7"/>
  <c r="X315" i="7" s="1"/>
  <c r="Y315" i="7" s="1"/>
  <c r="AB315" i="7" s="1"/>
  <c r="W315" i="7"/>
  <c r="AA315" i="7" s="1"/>
  <c r="X317" i="7"/>
  <c r="Y317" i="7" s="1"/>
  <c r="AB317" i="7" s="1"/>
  <c r="H93" i="7"/>
  <c r="I93" i="7" s="1"/>
  <c r="J93" i="7" s="1"/>
  <c r="J193" i="7"/>
  <c r="X323" i="7" s="1"/>
  <c r="Y323" i="7" s="1"/>
  <c r="AB323" i="7" s="1"/>
  <c r="W323" i="7"/>
  <c r="AA323" i="7" s="1"/>
  <c r="K87" i="1"/>
  <c r="L85" i="1" s="1"/>
  <c r="J214" i="7"/>
  <c r="X324" i="7" s="1"/>
  <c r="Y324" i="7" s="1"/>
  <c r="AB324" i="7" s="1"/>
  <c r="W324" i="7"/>
  <c r="AA324" i="7" s="1"/>
  <c r="K67" i="1"/>
  <c r="L66" i="1" s="1"/>
  <c r="H153" i="7"/>
  <c r="I153" i="7" s="1"/>
  <c r="J153" i="7" s="1"/>
  <c r="H154" i="7"/>
  <c r="I154" i="7" s="1"/>
  <c r="J154" i="7" s="1"/>
  <c r="H97" i="7"/>
  <c r="I97" i="7" s="1"/>
  <c r="J97" i="7" s="1"/>
  <c r="W317" i="7"/>
  <c r="AA317" i="7" s="1"/>
  <c r="H90" i="7"/>
  <c r="I90" i="7" s="1"/>
  <c r="J90" i="7" s="1"/>
  <c r="H180" i="7"/>
  <c r="I180" i="7" s="1"/>
  <c r="J180" i="7" s="1"/>
  <c r="H175" i="7"/>
  <c r="I175" i="7" s="1"/>
  <c r="J175" i="7" s="1"/>
  <c r="H172" i="7"/>
  <c r="I172" i="7" s="1"/>
  <c r="H178" i="7"/>
  <c r="I178" i="7" s="1"/>
  <c r="J178" i="7" s="1"/>
  <c r="H176" i="7"/>
  <c r="I176" i="7" s="1"/>
  <c r="J176" i="7" s="1"/>
  <c r="H40" i="4"/>
  <c r="I40" i="4" s="1"/>
  <c r="J40" i="4" s="1"/>
  <c r="H95" i="7"/>
  <c r="I95" i="7" s="1"/>
  <c r="J95" i="7" s="1"/>
  <c r="H108" i="5"/>
  <c r="H47" i="4"/>
  <c r="I47" i="4" s="1"/>
  <c r="J47" i="4" s="1"/>
  <c r="H139" i="7"/>
  <c r="I139" i="7" s="1"/>
  <c r="J139" i="7" s="1"/>
  <c r="H138" i="7"/>
  <c r="I138" i="7" s="1"/>
  <c r="J138" i="7" s="1"/>
  <c r="H136" i="7"/>
  <c r="I136" i="7" s="1"/>
  <c r="J136" i="7" s="1"/>
  <c r="H130" i="7"/>
  <c r="I130" i="7" s="1"/>
  <c r="H134" i="7"/>
  <c r="I134" i="7" s="1"/>
  <c r="J134" i="7" s="1"/>
  <c r="H132" i="7"/>
  <c r="I132" i="7" s="1"/>
  <c r="J132" i="7" s="1"/>
  <c r="H55" i="7"/>
  <c r="I55" i="7" s="1"/>
  <c r="J55" i="7" s="1"/>
  <c r="H53" i="7"/>
  <c r="I53" i="7" s="1"/>
  <c r="J53" i="7" s="1"/>
  <c r="H46" i="7"/>
  <c r="I46" i="7" s="1"/>
  <c r="H51" i="7"/>
  <c r="I51" i="7" s="1"/>
  <c r="J51" i="7" s="1"/>
  <c r="H49" i="7"/>
  <c r="I49" i="7" s="1"/>
  <c r="J49" i="7" s="1"/>
  <c r="H174" i="7"/>
  <c r="I174" i="7" s="1"/>
  <c r="J174" i="7" s="1"/>
  <c r="H156" i="7"/>
  <c r="I156" i="7" s="1"/>
  <c r="J156" i="7" s="1"/>
  <c r="J110" i="7"/>
  <c r="X319" i="7" s="1"/>
  <c r="Y319" i="7" s="1"/>
  <c r="AB319" i="7" s="1"/>
  <c r="W319" i="7"/>
  <c r="AA319" i="7" s="1"/>
  <c r="H23" i="4"/>
  <c r="I23" i="4" s="1"/>
  <c r="J23" i="4" s="1"/>
  <c r="H16" i="4"/>
  <c r="I16" i="4" s="1"/>
  <c r="H26" i="4"/>
  <c r="I26" i="4" s="1"/>
  <c r="J26" i="4" s="1"/>
  <c r="H20" i="4"/>
  <c r="I20" i="4" s="1"/>
  <c r="J20" i="4" s="1"/>
  <c r="H18" i="4"/>
  <c r="I18" i="4" s="1"/>
  <c r="J18" i="4" s="1"/>
  <c r="H19" i="4"/>
  <c r="I19" i="4" s="1"/>
  <c r="J19" i="4" s="1"/>
  <c r="H17" i="4"/>
  <c r="I17" i="4" s="1"/>
  <c r="J17" i="4" s="1"/>
  <c r="H21" i="4"/>
  <c r="I21" i="4" s="1"/>
  <c r="J21" i="4" s="1"/>
  <c r="R53" i="4"/>
  <c r="Z53" i="4" s="1"/>
  <c r="H38" i="4"/>
  <c r="I38" i="4" s="1"/>
  <c r="J38" i="4" s="1"/>
  <c r="R54" i="4"/>
  <c r="Z54" i="4" s="1"/>
  <c r="H37" i="4"/>
  <c r="I37" i="4" s="1"/>
  <c r="W5" i="4"/>
  <c r="AA5" i="4" s="1"/>
  <c r="F15" i="4"/>
  <c r="X5" i="4" s="1"/>
  <c r="Y5" i="4" s="1"/>
  <c r="AB5" i="4" s="1"/>
  <c r="H25" i="4"/>
  <c r="I25" i="4" s="1"/>
  <c r="J25" i="4" s="1"/>
  <c r="W8" i="7"/>
  <c r="AA8" i="7" s="1"/>
  <c r="W15" i="7"/>
  <c r="AA15" i="7" s="1"/>
  <c r="X15" i="7"/>
  <c r="Y15" i="7" s="1"/>
  <c r="AB15" i="7" s="1"/>
  <c r="W5" i="7"/>
  <c r="AA5" i="7" s="1"/>
  <c r="F213" i="7"/>
  <c r="X14" i="7" s="1"/>
  <c r="Y14" i="7" s="1"/>
  <c r="AB14" i="7" s="1"/>
  <c r="W14" i="7"/>
  <c r="AA14" i="7" s="1"/>
  <c r="F129" i="7"/>
  <c r="X10" i="7" s="1"/>
  <c r="Y10" i="7" s="1"/>
  <c r="AB10" i="7" s="1"/>
  <c r="W10" i="7"/>
  <c r="AA10" i="7" s="1"/>
  <c r="F66" i="7"/>
  <c r="X5" i="7" s="1"/>
  <c r="Y5" i="7" s="1"/>
  <c r="AB5" i="7" s="1"/>
  <c r="W7" i="7"/>
  <c r="AA7" i="7" s="1"/>
  <c r="F192" i="7"/>
  <c r="X13" i="7" s="1"/>
  <c r="Y13" i="7" s="1"/>
  <c r="AB13" i="7" s="1"/>
  <c r="W13" i="7"/>
  <c r="AA13" i="7" s="1"/>
  <c r="F108" i="7"/>
  <c r="X9" i="7" s="1"/>
  <c r="Y9" i="7" s="1"/>
  <c r="AB9" i="7" s="1"/>
  <c r="W9" i="7"/>
  <c r="AA9" i="7" s="1"/>
  <c r="F45" i="7"/>
  <c r="W6" i="7"/>
  <c r="AA6" i="7" s="1"/>
  <c r="W12" i="7"/>
  <c r="AA12" i="7" s="1"/>
  <c r="W11" i="7"/>
  <c r="AA11" i="7" s="1"/>
  <c r="X6" i="7"/>
  <c r="Y6" i="7" s="1"/>
  <c r="AB6" i="7" s="1"/>
  <c r="X12" i="7"/>
  <c r="Y12" i="7" s="1"/>
  <c r="AB12" i="7" s="1"/>
  <c r="X11" i="7"/>
  <c r="Y11" i="7" s="1"/>
  <c r="AB11" i="7" s="1"/>
  <c r="D108" i="5"/>
  <c r="F108" i="5"/>
  <c r="AA6" i="4"/>
  <c r="AB6" i="4"/>
  <c r="F60" i="2"/>
  <c r="X7" i="2" s="1"/>
  <c r="Y7" i="2" s="1"/>
  <c r="AB7" i="2" s="1"/>
  <c r="W7" i="2"/>
  <c r="AA7" i="2" s="1"/>
  <c r="Z7" i="2"/>
  <c r="E108" i="5"/>
  <c r="H66" i="5"/>
  <c r="I66" i="5" s="1"/>
  <c r="J66" i="5" s="1"/>
  <c r="H88" i="5"/>
  <c r="I88" i="5" s="1"/>
  <c r="J88" i="5" s="1"/>
  <c r="F69" i="5"/>
  <c r="W110" i="5"/>
  <c r="AA110" i="5" s="1"/>
  <c r="W7" i="5"/>
  <c r="AA7" i="5" s="1"/>
  <c r="F64" i="5"/>
  <c r="H47" i="5"/>
  <c r="I47" i="5" s="1"/>
  <c r="J47" i="5" s="1"/>
  <c r="F90" i="5"/>
  <c r="H45" i="5"/>
  <c r="I45" i="5" s="1"/>
  <c r="J45" i="5" s="1"/>
  <c r="H89" i="5"/>
  <c r="I89" i="5" s="1"/>
  <c r="J89" i="5" s="1"/>
  <c r="H69" i="5"/>
  <c r="I69" i="5" s="1"/>
  <c r="J69" i="5" s="1"/>
  <c r="H68" i="5"/>
  <c r="I68" i="5" s="1"/>
  <c r="J68" i="5" s="1"/>
  <c r="G108" i="5"/>
  <c r="F85" i="5"/>
  <c r="W8" i="5"/>
  <c r="AA8" i="5" s="1"/>
  <c r="W111" i="5"/>
  <c r="AA111" i="5" s="1"/>
  <c r="H90" i="5"/>
  <c r="I90" i="5" s="1"/>
  <c r="J90" i="5" s="1"/>
  <c r="Z8" i="5"/>
  <c r="D59" i="1"/>
  <c r="F59" i="1" s="1"/>
  <c r="D65" i="1"/>
  <c r="F65" i="1" s="1"/>
  <c r="D57" i="1"/>
  <c r="F57" i="1" s="1"/>
  <c r="G67" i="1"/>
  <c r="H66" i="1" s="1"/>
  <c r="I66" i="1" s="1"/>
  <c r="J66" i="1" s="1"/>
  <c r="L84" i="1"/>
  <c r="D62" i="1"/>
  <c r="F62" i="1" s="1"/>
  <c r="D63" i="1"/>
  <c r="F63" i="1" s="1"/>
  <c r="K47" i="1"/>
  <c r="L35" i="1" s="1"/>
  <c r="Z7" i="5"/>
  <c r="Z6" i="5"/>
  <c r="D18" i="1"/>
  <c r="F18" i="1" s="1"/>
  <c r="D15" i="1"/>
  <c r="E15" i="1" s="1"/>
  <c r="G47" i="1"/>
  <c r="H39" i="1" s="1"/>
  <c r="I39" i="1" s="1"/>
  <c r="J39" i="1" s="1"/>
  <c r="G27" i="1"/>
  <c r="H18" i="1" s="1"/>
  <c r="I18" i="1" s="1"/>
  <c r="J18" i="1" s="1"/>
  <c r="D55" i="1"/>
  <c r="E55" i="1" s="1"/>
  <c r="G87" i="1"/>
  <c r="H83" i="1" s="1"/>
  <c r="I83" i="1" s="1"/>
  <c r="J83" i="1" s="1"/>
  <c r="D77" i="1"/>
  <c r="F77" i="1" s="1"/>
  <c r="D64" i="1"/>
  <c r="F64" i="1" s="1"/>
  <c r="D58" i="1"/>
  <c r="F58" i="1" s="1"/>
  <c r="D60" i="1"/>
  <c r="F60" i="1" s="1"/>
  <c r="D56" i="1"/>
  <c r="F56" i="1" s="1"/>
  <c r="D42" i="1"/>
  <c r="F42" i="1" s="1"/>
  <c r="D20" i="1"/>
  <c r="F20" i="1" s="1"/>
  <c r="D19" i="1"/>
  <c r="F19" i="1" s="1"/>
  <c r="D26" i="1"/>
  <c r="F26" i="1" s="1"/>
  <c r="D25" i="1"/>
  <c r="F25" i="1" s="1"/>
  <c r="D16" i="1"/>
  <c r="F16" i="1" s="1"/>
  <c r="D22" i="1"/>
  <c r="F22" i="1" s="1"/>
  <c r="D46" i="1"/>
  <c r="F46" i="1" s="1"/>
  <c r="D36" i="1"/>
  <c r="F36" i="1" s="1"/>
  <c r="D45" i="1"/>
  <c r="F45" i="1" s="1"/>
  <c r="D21" i="1"/>
  <c r="F21" i="1" s="1"/>
  <c r="D23" i="1"/>
  <c r="F23" i="1" s="1"/>
  <c r="D61" i="1"/>
  <c r="F61" i="1" s="1"/>
  <c r="D17" i="1"/>
  <c r="F17" i="1" s="1"/>
  <c r="D39" i="1"/>
  <c r="F39" i="1" s="1"/>
  <c r="D84" i="1"/>
  <c r="F84" i="1" s="1"/>
  <c r="D43" i="1"/>
  <c r="F43" i="1" s="1"/>
  <c r="D78" i="1"/>
  <c r="F78" i="1" s="1"/>
  <c r="D40" i="1"/>
  <c r="F40" i="1" s="1"/>
  <c r="D24" i="1"/>
  <c r="F24" i="1" s="1"/>
  <c r="D38" i="1"/>
  <c r="F38" i="1" s="1"/>
  <c r="Z7" i="1"/>
  <c r="D37" i="1"/>
  <c r="E79" i="1"/>
  <c r="F79" i="1"/>
  <c r="E46" i="1"/>
  <c r="D82" i="1"/>
  <c r="D75" i="1"/>
  <c r="D81" i="1"/>
  <c r="D86" i="1"/>
  <c r="D85" i="1"/>
  <c r="D83" i="1"/>
  <c r="D41" i="1"/>
  <c r="D76" i="1"/>
  <c r="D44" i="1"/>
  <c r="D80" i="1"/>
  <c r="E35" i="1"/>
  <c r="E66" i="1"/>
  <c r="E18" i="1"/>
  <c r="D5" i="2"/>
  <c r="E5" i="2"/>
  <c r="F5" i="2"/>
  <c r="G5" i="2"/>
  <c r="H5" i="2"/>
  <c r="I5" i="2"/>
  <c r="J5" i="2"/>
  <c r="K5" i="2"/>
  <c r="L5" i="2"/>
  <c r="M5" i="2"/>
  <c r="N5" i="2"/>
  <c r="K79" i="2"/>
  <c r="L79" i="2"/>
  <c r="M79" i="2"/>
  <c r="N79" i="2"/>
  <c r="F80" i="2"/>
  <c r="G80" i="2"/>
  <c r="H80" i="2"/>
  <c r="I80" i="2"/>
  <c r="J80" i="2"/>
  <c r="K80" i="2"/>
  <c r="L80" i="2"/>
  <c r="M80" i="2"/>
  <c r="N80" i="2"/>
  <c r="E80" i="2"/>
  <c r="J97" i="5"/>
  <c r="J98" i="5"/>
  <c r="J143" i="5"/>
  <c r="K143" i="5"/>
  <c r="L143" i="5"/>
  <c r="M143" i="5"/>
  <c r="N143" i="5"/>
  <c r="J144" i="5"/>
  <c r="K144" i="5"/>
  <c r="L144" i="5"/>
  <c r="M144" i="5"/>
  <c r="N144" i="5"/>
  <c r="I144" i="5"/>
  <c r="I143" i="5"/>
  <c r="J5" i="5"/>
  <c r="K5" i="5"/>
  <c r="L5" i="5"/>
  <c r="M5" i="5"/>
  <c r="M136" i="5" s="1"/>
  <c r="N5" i="5"/>
  <c r="I5" i="5"/>
  <c r="I134" i="5" s="1"/>
  <c r="J125" i="5"/>
  <c r="K125" i="5"/>
  <c r="L125" i="5"/>
  <c r="M125" i="5"/>
  <c r="J126" i="5"/>
  <c r="K126" i="5"/>
  <c r="L126" i="5"/>
  <c r="M126" i="5"/>
  <c r="N126" i="5"/>
  <c r="J127" i="5"/>
  <c r="K127" i="5"/>
  <c r="L127" i="5"/>
  <c r="M127" i="5"/>
  <c r="N127" i="5"/>
  <c r="I126" i="5"/>
  <c r="I127" i="5"/>
  <c r="J117" i="5"/>
  <c r="K117" i="5"/>
  <c r="L117" i="5"/>
  <c r="M117" i="5"/>
  <c r="N117" i="5"/>
  <c r="J118" i="5"/>
  <c r="K118" i="5"/>
  <c r="L118" i="5"/>
  <c r="M118" i="5"/>
  <c r="N118" i="5"/>
  <c r="I118" i="5"/>
  <c r="I117" i="5"/>
  <c r="K97" i="5"/>
  <c r="L97" i="5"/>
  <c r="M97" i="5"/>
  <c r="N97" i="5"/>
  <c r="K98" i="5"/>
  <c r="L98" i="5"/>
  <c r="M98" i="5"/>
  <c r="N98" i="5"/>
  <c r="K99" i="5"/>
  <c r="L99" i="5"/>
  <c r="M99" i="5"/>
  <c r="N99" i="5"/>
  <c r="J99" i="5"/>
  <c r="D177" i="1"/>
  <c r="E177" i="1"/>
  <c r="F177" i="1"/>
  <c r="G177" i="1"/>
  <c r="H177" i="1"/>
  <c r="I177" i="1"/>
  <c r="J177" i="1"/>
  <c r="K177" i="1"/>
  <c r="L177" i="1"/>
  <c r="M177" i="1"/>
  <c r="N177" i="1"/>
  <c r="D178" i="1"/>
  <c r="E178" i="1"/>
  <c r="F178" i="1"/>
  <c r="G178" i="1"/>
  <c r="H178" i="1"/>
  <c r="I178" i="1"/>
  <c r="J178" i="1"/>
  <c r="K178" i="1"/>
  <c r="L178" i="1"/>
  <c r="M178" i="1"/>
  <c r="N178" i="1"/>
  <c r="C177" i="1"/>
  <c r="C178" i="1"/>
  <c r="D167" i="1"/>
  <c r="E167" i="1"/>
  <c r="F167" i="1"/>
  <c r="G167" i="1"/>
  <c r="H167" i="1"/>
  <c r="I167" i="1"/>
  <c r="J167" i="1"/>
  <c r="K167" i="1"/>
  <c r="L167" i="1"/>
  <c r="M167" i="1"/>
  <c r="N167" i="1"/>
  <c r="D168" i="1"/>
  <c r="E168" i="1"/>
  <c r="F168" i="1"/>
  <c r="G168" i="1"/>
  <c r="H168" i="1"/>
  <c r="I168" i="1"/>
  <c r="J168" i="1"/>
  <c r="L168" i="1"/>
  <c r="M168" i="1"/>
  <c r="N168" i="1"/>
  <c r="D169" i="1"/>
  <c r="E169" i="1"/>
  <c r="F169" i="1"/>
  <c r="G169" i="1"/>
  <c r="H169" i="1"/>
  <c r="I169" i="1"/>
  <c r="J169" i="1"/>
  <c r="K169" i="1"/>
  <c r="L169" i="1"/>
  <c r="M169" i="1"/>
  <c r="N169" i="1"/>
  <c r="C168" i="1"/>
  <c r="C169" i="1"/>
  <c r="D156" i="1"/>
  <c r="E156" i="1"/>
  <c r="F156" i="1"/>
  <c r="G156" i="1"/>
  <c r="H156" i="1"/>
  <c r="I156" i="1"/>
  <c r="J156" i="1"/>
  <c r="K156" i="1"/>
  <c r="L156" i="1"/>
  <c r="M156" i="1"/>
  <c r="N156" i="1"/>
  <c r="D157" i="1"/>
  <c r="E157" i="1"/>
  <c r="F157" i="1"/>
  <c r="G157" i="1"/>
  <c r="H157" i="1"/>
  <c r="I157" i="1"/>
  <c r="J157" i="1"/>
  <c r="K157" i="1"/>
  <c r="L157" i="1"/>
  <c r="M157" i="1"/>
  <c r="N157" i="1"/>
  <c r="D158" i="1"/>
  <c r="E158" i="1"/>
  <c r="F158" i="1"/>
  <c r="G158" i="1"/>
  <c r="H158" i="1"/>
  <c r="I158" i="1"/>
  <c r="J158" i="1"/>
  <c r="K158" i="1"/>
  <c r="L158" i="1"/>
  <c r="M158" i="1"/>
  <c r="N158" i="1"/>
  <c r="D159" i="1"/>
  <c r="E159" i="1"/>
  <c r="F159" i="1"/>
  <c r="G159" i="1"/>
  <c r="H159" i="1"/>
  <c r="I159" i="1"/>
  <c r="J159" i="1"/>
  <c r="K159" i="1"/>
  <c r="L159" i="1"/>
  <c r="M159" i="1"/>
  <c r="N159" i="1"/>
  <c r="C157" i="1"/>
  <c r="C158" i="1"/>
  <c r="C159" i="1"/>
  <c r="C156" i="1"/>
  <c r="E145" i="1"/>
  <c r="F145" i="1"/>
  <c r="G145" i="1"/>
  <c r="H145" i="1"/>
  <c r="I145" i="1"/>
  <c r="J145" i="1"/>
  <c r="K145" i="1"/>
  <c r="L145" i="1"/>
  <c r="M145" i="1"/>
  <c r="N145" i="1"/>
  <c r="E146" i="1"/>
  <c r="F146" i="1"/>
  <c r="G146" i="1"/>
  <c r="H146" i="1"/>
  <c r="I146" i="1"/>
  <c r="J146" i="1"/>
  <c r="K146" i="1"/>
  <c r="L146" i="1"/>
  <c r="M146" i="1"/>
  <c r="N146" i="1"/>
  <c r="E147" i="1"/>
  <c r="F147" i="1"/>
  <c r="G147" i="1"/>
  <c r="H147" i="1"/>
  <c r="I147" i="1"/>
  <c r="J147" i="1"/>
  <c r="K147" i="1"/>
  <c r="L147" i="1"/>
  <c r="M147" i="1"/>
  <c r="N147" i="1"/>
  <c r="E148" i="1"/>
  <c r="F148" i="1"/>
  <c r="G148" i="1"/>
  <c r="H148" i="1"/>
  <c r="I148" i="1"/>
  <c r="J148" i="1"/>
  <c r="K148" i="1"/>
  <c r="L148" i="1"/>
  <c r="M148" i="1"/>
  <c r="N148" i="1"/>
  <c r="D146" i="1"/>
  <c r="D147" i="1"/>
  <c r="D148" i="1"/>
  <c r="D136" i="1"/>
  <c r="E136" i="1"/>
  <c r="F136" i="1"/>
  <c r="G136" i="1"/>
  <c r="H136" i="1"/>
  <c r="I136" i="1"/>
  <c r="J136" i="1"/>
  <c r="K136" i="1"/>
  <c r="L136" i="1"/>
  <c r="M136" i="1"/>
  <c r="N136" i="1"/>
  <c r="D137" i="1"/>
  <c r="E137" i="1"/>
  <c r="F137" i="1"/>
  <c r="G137" i="1"/>
  <c r="H137" i="1"/>
  <c r="I137" i="1"/>
  <c r="J137" i="1"/>
  <c r="K137" i="1"/>
  <c r="L137" i="1"/>
  <c r="M137" i="1"/>
  <c r="N137" i="1"/>
  <c r="C137" i="1"/>
  <c r="C136" i="1"/>
  <c r="E125" i="1"/>
  <c r="F125" i="1"/>
  <c r="G125" i="1"/>
  <c r="H125" i="1"/>
  <c r="I125" i="1"/>
  <c r="J125" i="1"/>
  <c r="K125" i="1"/>
  <c r="L125" i="1"/>
  <c r="M125" i="1"/>
  <c r="N125" i="1"/>
  <c r="F126" i="1"/>
  <c r="G126" i="1"/>
  <c r="H126" i="1"/>
  <c r="I126" i="1"/>
  <c r="J126" i="1"/>
  <c r="K126" i="1"/>
  <c r="L126" i="1"/>
  <c r="M126" i="1"/>
  <c r="N126" i="1"/>
  <c r="F127" i="1"/>
  <c r="G127" i="1"/>
  <c r="H127" i="1"/>
  <c r="I127" i="1"/>
  <c r="J127" i="1"/>
  <c r="K127" i="1"/>
  <c r="L127" i="1"/>
  <c r="M127" i="1"/>
  <c r="N127" i="1"/>
  <c r="E128" i="1"/>
  <c r="F128" i="1"/>
  <c r="G128" i="1"/>
  <c r="H128" i="1"/>
  <c r="I128" i="1"/>
  <c r="J128" i="1"/>
  <c r="K128" i="1"/>
  <c r="L128" i="1"/>
  <c r="M128" i="1"/>
  <c r="N128" i="1"/>
  <c r="D126" i="1"/>
  <c r="D127" i="1"/>
  <c r="D128" i="1"/>
  <c r="D114" i="1"/>
  <c r="E114" i="1"/>
  <c r="F114" i="1"/>
  <c r="G114" i="1"/>
  <c r="H114" i="1"/>
  <c r="I114" i="1"/>
  <c r="J114" i="1"/>
  <c r="K114" i="1"/>
  <c r="L114" i="1"/>
  <c r="M114" i="1"/>
  <c r="N114" i="1"/>
  <c r="D115" i="1"/>
  <c r="E115" i="1"/>
  <c r="F115" i="1"/>
  <c r="G115" i="1"/>
  <c r="H115" i="1"/>
  <c r="I115" i="1"/>
  <c r="J115" i="1"/>
  <c r="K115" i="1"/>
  <c r="L115" i="1"/>
  <c r="M115" i="1"/>
  <c r="N115" i="1"/>
  <c r="D116" i="1"/>
  <c r="E116" i="1"/>
  <c r="F116" i="1"/>
  <c r="G116" i="1"/>
  <c r="H116" i="1"/>
  <c r="I116" i="1"/>
  <c r="J116" i="1"/>
  <c r="K116" i="1"/>
  <c r="L116" i="1"/>
  <c r="M116" i="1"/>
  <c r="N116" i="1"/>
  <c r="D117" i="1"/>
  <c r="E117" i="1"/>
  <c r="F117" i="1"/>
  <c r="G117" i="1"/>
  <c r="H117" i="1"/>
  <c r="I117" i="1"/>
  <c r="J117" i="1"/>
  <c r="K117" i="1"/>
  <c r="L117" i="1"/>
  <c r="M117" i="1"/>
  <c r="N117" i="1"/>
  <c r="C115" i="1"/>
  <c r="C116" i="1"/>
  <c r="C117" i="1"/>
  <c r="D102" i="1"/>
  <c r="E102" i="1"/>
  <c r="F102" i="1"/>
  <c r="G102" i="1"/>
  <c r="H102" i="1"/>
  <c r="I102" i="1"/>
  <c r="J102" i="1"/>
  <c r="K102" i="1"/>
  <c r="L102" i="1"/>
  <c r="M102" i="1"/>
  <c r="N102" i="1"/>
  <c r="D101" i="1"/>
  <c r="E101" i="1"/>
  <c r="F101" i="1"/>
  <c r="G101" i="1"/>
  <c r="H101" i="1"/>
  <c r="I101" i="1"/>
  <c r="J101" i="1"/>
  <c r="K101" i="1"/>
  <c r="L101" i="1"/>
  <c r="M101" i="1"/>
  <c r="N101" i="1"/>
  <c r="N100" i="1"/>
  <c r="D100" i="1"/>
  <c r="E100" i="1"/>
  <c r="F100" i="1"/>
  <c r="G100" i="1"/>
  <c r="H100" i="1"/>
  <c r="I100" i="1"/>
  <c r="J100" i="1"/>
  <c r="K100" i="1"/>
  <c r="L100" i="1"/>
  <c r="M100" i="1"/>
  <c r="D99" i="1"/>
  <c r="E99" i="1"/>
  <c r="F99" i="1"/>
  <c r="G99" i="1"/>
  <c r="H99" i="1"/>
  <c r="I99" i="1"/>
  <c r="J99" i="1"/>
  <c r="K99" i="1"/>
  <c r="L99" i="1"/>
  <c r="M99" i="1"/>
  <c r="N99" i="1"/>
  <c r="C100" i="1"/>
  <c r="C101" i="1"/>
  <c r="C102" i="1"/>
  <c r="E78" i="1" l="1"/>
  <c r="L37" i="1"/>
  <c r="L80" i="1"/>
  <c r="E42" i="1"/>
  <c r="E57" i="1"/>
  <c r="H63" i="1"/>
  <c r="I63" i="1" s="1"/>
  <c r="J63" i="1" s="1"/>
  <c r="L63" i="1"/>
  <c r="M63" i="1" s="1"/>
  <c r="L83" i="1"/>
  <c r="N83" i="1" s="1"/>
  <c r="L65" i="1"/>
  <c r="M65" i="1" s="1"/>
  <c r="L86" i="1"/>
  <c r="L81" i="1"/>
  <c r="N81" i="1" s="1"/>
  <c r="L75" i="1"/>
  <c r="M75" i="1" s="1"/>
  <c r="E64" i="1"/>
  <c r="L59" i="1"/>
  <c r="M59" i="1" s="1"/>
  <c r="L57" i="1"/>
  <c r="N57" i="1" s="1"/>
  <c r="L61" i="1"/>
  <c r="M61" i="1" s="1"/>
  <c r="E62" i="1"/>
  <c r="E59" i="1"/>
  <c r="L60" i="1"/>
  <c r="M60" i="1" s="1"/>
  <c r="L55" i="1"/>
  <c r="M55" i="1" s="1"/>
  <c r="L64" i="1"/>
  <c r="N64" i="1" s="1"/>
  <c r="L79" i="1"/>
  <c r="M79" i="1" s="1"/>
  <c r="L78" i="1"/>
  <c r="N78" i="1" s="1"/>
  <c r="L82" i="1"/>
  <c r="M82" i="1" s="1"/>
  <c r="L56" i="1"/>
  <c r="M56" i="1" s="1"/>
  <c r="L58" i="1"/>
  <c r="N58" i="1" s="1"/>
  <c r="L77" i="1"/>
  <c r="M77" i="1" s="1"/>
  <c r="L76" i="1"/>
  <c r="N76" i="1" s="1"/>
  <c r="F15" i="1"/>
  <c r="X5" i="1" s="1"/>
  <c r="Y5" i="1" s="1"/>
  <c r="AB5" i="1" s="1"/>
  <c r="E26" i="1"/>
  <c r="J88" i="7"/>
  <c r="X318" i="7" s="1"/>
  <c r="Y318" i="7" s="1"/>
  <c r="AB318" i="7" s="1"/>
  <c r="W318" i="7"/>
  <c r="AA318" i="7" s="1"/>
  <c r="E77" i="1"/>
  <c r="J130" i="7"/>
  <c r="X320" i="7" s="1"/>
  <c r="Y320" i="7" s="1"/>
  <c r="AB320" i="7" s="1"/>
  <c r="W320" i="7"/>
  <c r="AA320" i="7" s="1"/>
  <c r="E63" i="1"/>
  <c r="J172" i="7"/>
  <c r="X322" i="7" s="1"/>
  <c r="Y322" i="7" s="1"/>
  <c r="AB322" i="7" s="1"/>
  <c r="W322" i="7"/>
  <c r="AA322" i="7" s="1"/>
  <c r="J46" i="7"/>
  <c r="X316" i="7" s="1"/>
  <c r="Y316" i="7" s="1"/>
  <c r="AB316" i="7" s="1"/>
  <c r="W316" i="7"/>
  <c r="AA316" i="7" s="1"/>
  <c r="E56" i="1"/>
  <c r="W321" i="7"/>
  <c r="AA321" i="7" s="1"/>
  <c r="L62" i="1"/>
  <c r="M62" i="1" s="1"/>
  <c r="X321" i="7"/>
  <c r="Y321" i="7" s="1"/>
  <c r="AB321" i="7" s="1"/>
  <c r="J16" i="4"/>
  <c r="X53" i="4" s="1"/>
  <c r="Y53" i="4" s="1"/>
  <c r="AB53" i="4" s="1"/>
  <c r="W53" i="4"/>
  <c r="AA53" i="4" s="1"/>
  <c r="W54" i="4"/>
  <c r="AA54" i="4" s="1"/>
  <c r="J37" i="4"/>
  <c r="X54" i="4" s="1"/>
  <c r="Y54" i="4" s="1"/>
  <c r="AB54" i="4" s="1"/>
  <c r="U5" i="5"/>
  <c r="R146" i="1"/>
  <c r="R145" i="1"/>
  <c r="E84" i="1"/>
  <c r="L36" i="1"/>
  <c r="M36" i="1" s="1"/>
  <c r="L41" i="1"/>
  <c r="M41" i="1" s="1"/>
  <c r="L45" i="1"/>
  <c r="M45" i="1" s="1"/>
  <c r="C16" i="2" a="1"/>
  <c r="C16" i="2" s="1"/>
  <c r="U5" i="2"/>
  <c r="P5" i="2"/>
  <c r="Q5" i="2"/>
  <c r="S5" i="2"/>
  <c r="T5" i="2"/>
  <c r="N135" i="5"/>
  <c r="N108" i="5"/>
  <c r="X7" i="5"/>
  <c r="Y7" i="5" s="1"/>
  <c r="AB7" i="5" s="1"/>
  <c r="X110" i="5"/>
  <c r="Y110" i="5" s="1"/>
  <c r="AB110" i="5" s="1"/>
  <c r="L136" i="5"/>
  <c r="L108" i="5"/>
  <c r="J135" i="5"/>
  <c r="J108" i="5"/>
  <c r="M134" i="5"/>
  <c r="M108" i="5"/>
  <c r="I108" i="5"/>
  <c r="K135" i="5"/>
  <c r="K108" i="5"/>
  <c r="X111" i="5"/>
  <c r="Y111" i="5" s="1"/>
  <c r="AB111" i="5" s="1"/>
  <c r="X8" i="5"/>
  <c r="Y8" i="5" s="1"/>
  <c r="AB8" i="5" s="1"/>
  <c r="C16" i="5" a="1"/>
  <c r="O5" i="5"/>
  <c r="H81" i="1"/>
  <c r="I81" i="1" s="1"/>
  <c r="J81" i="1" s="1"/>
  <c r="H65" i="1"/>
  <c r="I65" i="1" s="1"/>
  <c r="J65" i="1" s="1"/>
  <c r="H61" i="1"/>
  <c r="I61" i="1" s="1"/>
  <c r="J61" i="1" s="1"/>
  <c r="H78" i="1"/>
  <c r="I78" i="1" s="1"/>
  <c r="J78" i="1" s="1"/>
  <c r="N60" i="1"/>
  <c r="U169" i="1"/>
  <c r="E21" i="1"/>
  <c r="H24" i="1"/>
  <c r="I24" i="1" s="1"/>
  <c r="J24" i="1" s="1"/>
  <c r="H56" i="1"/>
  <c r="I56" i="1" s="1"/>
  <c r="J56" i="1" s="1"/>
  <c r="H60" i="1"/>
  <c r="I60" i="1" s="1"/>
  <c r="J60" i="1" s="1"/>
  <c r="H59" i="1"/>
  <c r="I59" i="1" s="1"/>
  <c r="J59" i="1" s="1"/>
  <c r="L40" i="1"/>
  <c r="M84" i="1"/>
  <c r="N84" i="1"/>
  <c r="L38" i="1"/>
  <c r="L39" i="1"/>
  <c r="L42" i="1"/>
  <c r="R148" i="1"/>
  <c r="U168" i="1"/>
  <c r="S167" i="1"/>
  <c r="H57" i="1"/>
  <c r="I57" i="1" s="1"/>
  <c r="J57" i="1" s="1"/>
  <c r="H62" i="1"/>
  <c r="I62" i="1" s="1"/>
  <c r="J62" i="1" s="1"/>
  <c r="L46" i="1"/>
  <c r="O167" i="1"/>
  <c r="M66" i="1"/>
  <c r="N66" i="1"/>
  <c r="N86" i="1"/>
  <c r="M86" i="1"/>
  <c r="N79" i="1"/>
  <c r="M76" i="1"/>
  <c r="N63" i="1"/>
  <c r="N37" i="1"/>
  <c r="M37" i="1"/>
  <c r="R147" i="1"/>
  <c r="E65" i="1"/>
  <c r="H64" i="1"/>
  <c r="I64" i="1" s="1"/>
  <c r="J64" i="1" s="1"/>
  <c r="H58" i="1"/>
  <c r="I58" i="1" s="1"/>
  <c r="J58" i="1" s="1"/>
  <c r="M35" i="1"/>
  <c r="N35" i="1"/>
  <c r="L44" i="1"/>
  <c r="U167" i="1"/>
  <c r="M85" i="1"/>
  <c r="N85" i="1"/>
  <c r="N80" i="1"/>
  <c r="M80" i="1"/>
  <c r="L43" i="1"/>
  <c r="Q5" i="5"/>
  <c r="H22" i="1"/>
  <c r="I22" i="1" s="1"/>
  <c r="J22" i="1" s="1"/>
  <c r="P5" i="5"/>
  <c r="T5" i="5"/>
  <c r="S5" i="5"/>
  <c r="H26" i="1"/>
  <c r="I26" i="1" s="1"/>
  <c r="J26" i="1" s="1"/>
  <c r="E17" i="1"/>
  <c r="H41" i="1"/>
  <c r="I41" i="1" s="1"/>
  <c r="J41" i="1" s="1"/>
  <c r="H19" i="1"/>
  <c r="I19" i="1" s="1"/>
  <c r="J19" i="1" s="1"/>
  <c r="P167" i="1"/>
  <c r="T169" i="1"/>
  <c r="P169" i="1"/>
  <c r="S169" i="1"/>
  <c r="Q169" i="1"/>
  <c r="E16" i="1"/>
  <c r="E61" i="1"/>
  <c r="H23" i="1"/>
  <c r="I23" i="1" s="1"/>
  <c r="J23" i="1" s="1"/>
  <c r="T167" i="1"/>
  <c r="P168" i="1"/>
  <c r="S168" i="1"/>
  <c r="Q168" i="1"/>
  <c r="T168" i="1"/>
  <c r="Q167" i="1"/>
  <c r="U147" i="1"/>
  <c r="T147" i="1"/>
  <c r="H40" i="1"/>
  <c r="I40" i="1" s="1"/>
  <c r="J40" i="1" s="1"/>
  <c r="H36" i="1"/>
  <c r="I36" i="1" s="1"/>
  <c r="H44" i="1"/>
  <c r="I44" i="1" s="1"/>
  <c r="J44" i="1" s="1"/>
  <c r="H37" i="1"/>
  <c r="I37" i="1" s="1"/>
  <c r="J37" i="1" s="1"/>
  <c r="H38" i="1"/>
  <c r="I38" i="1" s="1"/>
  <c r="J38" i="1" s="1"/>
  <c r="T146" i="1"/>
  <c r="U146" i="1"/>
  <c r="T145" i="1"/>
  <c r="U145" i="1"/>
  <c r="E58" i="1"/>
  <c r="H82" i="1"/>
  <c r="I82" i="1" s="1"/>
  <c r="J82" i="1" s="1"/>
  <c r="H43" i="1"/>
  <c r="I43" i="1" s="1"/>
  <c r="J43" i="1" s="1"/>
  <c r="U148" i="1"/>
  <c r="T148" i="1"/>
  <c r="E19" i="1"/>
  <c r="F55" i="1"/>
  <c r="X7" i="1" s="1"/>
  <c r="Y7" i="1" s="1"/>
  <c r="AB7" i="1" s="1"/>
  <c r="H45" i="1"/>
  <c r="I45" i="1" s="1"/>
  <c r="J45" i="1" s="1"/>
  <c r="H46" i="1"/>
  <c r="I46" i="1" s="1"/>
  <c r="J46" i="1" s="1"/>
  <c r="H80" i="1"/>
  <c r="I80" i="1" s="1"/>
  <c r="J80" i="1" s="1"/>
  <c r="H76" i="1"/>
  <c r="I76" i="1" s="1"/>
  <c r="H86" i="1"/>
  <c r="I86" i="1" s="1"/>
  <c r="J86" i="1" s="1"/>
  <c r="H79" i="1"/>
  <c r="I79" i="1" s="1"/>
  <c r="J79" i="1" s="1"/>
  <c r="H77" i="1"/>
  <c r="I77" i="1" s="1"/>
  <c r="J77" i="1" s="1"/>
  <c r="H84" i="1"/>
  <c r="I84" i="1" s="1"/>
  <c r="J84" i="1" s="1"/>
  <c r="H17" i="1"/>
  <c r="I17" i="1" s="1"/>
  <c r="J17" i="1" s="1"/>
  <c r="H16" i="1"/>
  <c r="I16" i="1" s="1"/>
  <c r="H25" i="1"/>
  <c r="I25" i="1" s="1"/>
  <c r="J25" i="1" s="1"/>
  <c r="H21" i="1"/>
  <c r="I21" i="1" s="1"/>
  <c r="J21" i="1" s="1"/>
  <c r="H42" i="1"/>
  <c r="I42" i="1" s="1"/>
  <c r="J42" i="1" s="1"/>
  <c r="H20" i="1"/>
  <c r="I20" i="1" s="1"/>
  <c r="J20" i="1" s="1"/>
  <c r="H85" i="1"/>
  <c r="I85" i="1" s="1"/>
  <c r="J85" i="1" s="1"/>
  <c r="E60" i="1"/>
  <c r="E38" i="1"/>
  <c r="E45" i="1"/>
  <c r="E40" i="1"/>
  <c r="E39" i="1"/>
  <c r="E20" i="1"/>
  <c r="E25" i="1"/>
  <c r="E22" i="1"/>
  <c r="E23" i="1"/>
  <c r="E24" i="1"/>
  <c r="E36" i="1"/>
  <c r="E43" i="1"/>
  <c r="P145" i="1"/>
  <c r="F37" i="1"/>
  <c r="E37" i="1"/>
  <c r="E80" i="1"/>
  <c r="F80" i="1"/>
  <c r="F44" i="1"/>
  <c r="E44" i="1"/>
  <c r="Q147" i="1"/>
  <c r="P147" i="1"/>
  <c r="Q148" i="1"/>
  <c r="P148" i="1"/>
  <c r="F76" i="1"/>
  <c r="E76" i="1"/>
  <c r="Q146" i="1"/>
  <c r="P146" i="1"/>
  <c r="F75" i="1"/>
  <c r="E75" i="1"/>
  <c r="Q145" i="1"/>
  <c r="E85" i="1"/>
  <c r="F85" i="1"/>
  <c r="E81" i="1"/>
  <c r="F81" i="1"/>
  <c r="E82" i="1"/>
  <c r="F82" i="1"/>
  <c r="F41" i="1"/>
  <c r="E41" i="1"/>
  <c r="E86" i="1"/>
  <c r="F86" i="1"/>
  <c r="E83" i="1"/>
  <c r="F83" i="1"/>
  <c r="N87" i="2"/>
  <c r="J87" i="2"/>
  <c r="I87" i="2"/>
  <c r="F87" i="2"/>
  <c r="O169" i="1"/>
  <c r="M87" i="2"/>
  <c r="E87" i="2"/>
  <c r="L87" i="2"/>
  <c r="H87" i="2"/>
  <c r="D87" i="2"/>
  <c r="K87" i="2"/>
  <c r="G87" i="2"/>
  <c r="O168" i="1"/>
  <c r="N113" i="2"/>
  <c r="J113" i="2"/>
  <c r="F113" i="2"/>
  <c r="I113" i="2"/>
  <c r="G113" i="2"/>
  <c r="L113" i="2"/>
  <c r="H113" i="2"/>
  <c r="M113" i="2"/>
  <c r="K113" i="2"/>
  <c r="J104" i="2"/>
  <c r="J105" i="2"/>
  <c r="D105" i="2"/>
  <c r="D104" i="2"/>
  <c r="O5" i="2"/>
  <c r="N105" i="2"/>
  <c r="N104" i="2"/>
  <c r="F104" i="2"/>
  <c r="F105" i="2"/>
  <c r="M104" i="2"/>
  <c r="M105" i="2"/>
  <c r="K104" i="2"/>
  <c r="K105" i="2"/>
  <c r="I104" i="2"/>
  <c r="I105" i="2"/>
  <c r="G105" i="2"/>
  <c r="G104" i="2"/>
  <c r="L104" i="2"/>
  <c r="L105" i="2"/>
  <c r="H104" i="2"/>
  <c r="H105" i="2"/>
  <c r="E104" i="2"/>
  <c r="E105" i="2"/>
  <c r="K136" i="5"/>
  <c r="I135" i="5"/>
  <c r="N136" i="5"/>
  <c r="M135" i="5"/>
  <c r="L135" i="5"/>
  <c r="N134" i="5"/>
  <c r="K134" i="5"/>
  <c r="I136" i="5"/>
  <c r="L134" i="5"/>
  <c r="J136" i="5"/>
  <c r="J134" i="5"/>
  <c r="M83" i="1" l="1"/>
  <c r="N65" i="1"/>
  <c r="M57" i="1"/>
  <c r="R168" i="1"/>
  <c r="N75" i="1"/>
  <c r="N61" i="1"/>
  <c r="M81" i="1"/>
  <c r="N55" i="1"/>
  <c r="N59" i="1"/>
  <c r="U108" i="5"/>
  <c r="N45" i="1"/>
  <c r="N77" i="1"/>
  <c r="N82" i="1"/>
  <c r="S145" i="1"/>
  <c r="Z145" i="1" s="1"/>
  <c r="M78" i="1"/>
  <c r="W169" i="1" s="1"/>
  <c r="AA169" i="1" s="1"/>
  <c r="N56" i="1"/>
  <c r="M58" i="1"/>
  <c r="M64" i="1"/>
  <c r="U134" i="5"/>
  <c r="R169" i="1"/>
  <c r="N36" i="1"/>
  <c r="N41" i="1"/>
  <c r="N62" i="1"/>
  <c r="U104" i="2"/>
  <c r="Q104" i="2"/>
  <c r="S104" i="2"/>
  <c r="T104" i="2"/>
  <c r="P104" i="2"/>
  <c r="P105" i="2"/>
  <c r="S105" i="2"/>
  <c r="Q105" i="2"/>
  <c r="T105" i="2"/>
  <c r="U105" i="2"/>
  <c r="P108" i="5"/>
  <c r="S134" i="5"/>
  <c r="O108" i="5"/>
  <c r="Z169" i="1"/>
  <c r="P135" i="5"/>
  <c r="S135" i="5"/>
  <c r="Q135" i="5"/>
  <c r="R135" i="5" s="1"/>
  <c r="U135" i="5"/>
  <c r="T135" i="5"/>
  <c r="P134" i="5"/>
  <c r="T134" i="5"/>
  <c r="T136" i="5"/>
  <c r="P136" i="5"/>
  <c r="S136" i="5"/>
  <c r="Q136" i="5"/>
  <c r="R136" i="5" s="1"/>
  <c r="U136" i="5"/>
  <c r="Q134" i="5"/>
  <c r="C24" i="2"/>
  <c r="R5" i="2"/>
  <c r="Z5" i="2" s="1"/>
  <c r="C26" i="2"/>
  <c r="C20" i="2"/>
  <c r="C19" i="2"/>
  <c r="C23" i="2"/>
  <c r="C17" i="2"/>
  <c r="C27" i="2"/>
  <c r="C21" i="2"/>
  <c r="C18" i="2"/>
  <c r="C22" i="2"/>
  <c r="C25" i="2"/>
  <c r="S108" i="5"/>
  <c r="O134" i="5"/>
  <c r="Q108" i="5"/>
  <c r="T108" i="5"/>
  <c r="C16" i="5"/>
  <c r="C20" i="5"/>
  <c r="C24" i="5"/>
  <c r="C27" i="5"/>
  <c r="C21" i="5"/>
  <c r="C17" i="5"/>
  <c r="C25" i="5"/>
  <c r="C18" i="5"/>
  <c r="C22" i="5"/>
  <c r="C26" i="5"/>
  <c r="C19" i="5"/>
  <c r="C23" i="5"/>
  <c r="W7" i="1"/>
  <c r="AA7" i="1" s="1"/>
  <c r="N38" i="1"/>
  <c r="M38" i="1"/>
  <c r="R5" i="5"/>
  <c r="Z5" i="5" s="1"/>
  <c r="M46" i="1"/>
  <c r="N46" i="1"/>
  <c r="N40" i="1"/>
  <c r="M40" i="1"/>
  <c r="W147" i="1"/>
  <c r="AA147" i="1" s="1"/>
  <c r="R167" i="1"/>
  <c r="Z167" i="1" s="1"/>
  <c r="N42" i="1"/>
  <c r="M42" i="1"/>
  <c r="N43" i="1"/>
  <c r="M43" i="1"/>
  <c r="M44" i="1"/>
  <c r="N44" i="1"/>
  <c r="N39" i="1"/>
  <c r="M39" i="1"/>
  <c r="X6" i="1"/>
  <c r="Y6" i="1" s="1"/>
  <c r="AB6" i="1" s="1"/>
  <c r="X147" i="1"/>
  <c r="Y147" i="1" s="1"/>
  <c r="AB147" i="1" s="1"/>
  <c r="S146" i="1"/>
  <c r="Z146" i="1" s="1"/>
  <c r="Z168" i="1"/>
  <c r="W146" i="1"/>
  <c r="AA146" i="1" s="1"/>
  <c r="J36" i="1"/>
  <c r="X146" i="1" s="1"/>
  <c r="Y146" i="1" s="1"/>
  <c r="AB146" i="1" s="1"/>
  <c r="J16" i="1"/>
  <c r="X145" i="1" s="1"/>
  <c r="Y145" i="1" s="1"/>
  <c r="AB145" i="1" s="1"/>
  <c r="W145" i="1"/>
  <c r="AA145" i="1" s="1"/>
  <c r="S147" i="1"/>
  <c r="Z147" i="1" s="1"/>
  <c r="J76" i="1"/>
  <c r="X148" i="1" s="1"/>
  <c r="Y148" i="1" s="1"/>
  <c r="AB148" i="1" s="1"/>
  <c r="W148" i="1"/>
  <c r="AA148" i="1" s="1"/>
  <c r="W6" i="1"/>
  <c r="AA6" i="1" s="1"/>
  <c r="W5" i="1"/>
  <c r="AA5" i="1" s="1"/>
  <c r="S148" i="1"/>
  <c r="Z148" i="1" s="1"/>
  <c r="W8" i="1"/>
  <c r="AA8" i="1" s="1"/>
  <c r="X8" i="1"/>
  <c r="O135" i="5"/>
  <c r="O136" i="5"/>
  <c r="O104" i="2"/>
  <c r="O105" i="2"/>
  <c r="X169" i="1" l="1"/>
  <c r="Y169" i="1" s="1"/>
  <c r="AB169" i="1" s="1"/>
  <c r="W168" i="1"/>
  <c r="AA168" i="1" s="1"/>
  <c r="X168" i="1"/>
  <c r="Y168" i="1" s="1"/>
  <c r="AB168" i="1" s="1"/>
  <c r="R104" i="2"/>
  <c r="G67" i="2"/>
  <c r="G46" i="2"/>
  <c r="R108" i="5"/>
  <c r="G49" i="2"/>
  <c r="G70" i="2"/>
  <c r="G39" i="2"/>
  <c r="G60" i="2"/>
  <c r="G68" i="2"/>
  <c r="G47" i="2"/>
  <c r="G66" i="2"/>
  <c r="G45" i="2"/>
  <c r="G44" i="2"/>
  <c r="G65" i="2"/>
  <c r="G41" i="2"/>
  <c r="G62" i="2"/>
  <c r="G61" i="2"/>
  <c r="G40" i="2"/>
  <c r="G42" i="2"/>
  <c r="G63" i="2"/>
  <c r="G48" i="2"/>
  <c r="G69" i="2"/>
  <c r="G43" i="2"/>
  <c r="G64" i="2"/>
  <c r="R105" i="2"/>
  <c r="Z104" i="2"/>
  <c r="Z105" i="2"/>
  <c r="R134" i="5"/>
  <c r="Z134" i="5" s="1"/>
  <c r="Z108" i="5"/>
  <c r="G17" i="5"/>
  <c r="Z136" i="5"/>
  <c r="G23" i="5"/>
  <c r="K86" i="5"/>
  <c r="K65" i="5"/>
  <c r="K44" i="5"/>
  <c r="K48" i="5"/>
  <c r="K90" i="5"/>
  <c r="K69" i="5"/>
  <c r="G19" i="5"/>
  <c r="G25" i="5"/>
  <c r="K88" i="5"/>
  <c r="K67" i="5"/>
  <c r="K46" i="5"/>
  <c r="G24" i="5"/>
  <c r="K66" i="5"/>
  <c r="K45" i="5"/>
  <c r="K87" i="5"/>
  <c r="K89" i="5"/>
  <c r="K68" i="5"/>
  <c r="K47" i="5"/>
  <c r="G22" i="5"/>
  <c r="K64" i="5"/>
  <c r="K43" i="5"/>
  <c r="K85" i="5"/>
  <c r="C28" i="2"/>
  <c r="D17" i="2" s="1"/>
  <c r="E17" i="2" s="1"/>
  <c r="F17" i="2" s="1"/>
  <c r="E47" i="2"/>
  <c r="F47" i="2" s="1"/>
  <c r="E44" i="2"/>
  <c r="F44" i="2" s="1"/>
  <c r="E40" i="2"/>
  <c r="E48" i="2"/>
  <c r="E41" i="2"/>
  <c r="F41" i="2" s="1"/>
  <c r="E45" i="2"/>
  <c r="F45" i="2" s="1"/>
  <c r="E46" i="2"/>
  <c r="F46" i="2" s="1"/>
  <c r="E43" i="2"/>
  <c r="F43" i="2" s="1"/>
  <c r="E42" i="2"/>
  <c r="F42" i="2" s="1"/>
  <c r="E49" i="2"/>
  <c r="F49" i="2" s="1"/>
  <c r="G26" i="5"/>
  <c r="G20" i="5"/>
  <c r="G21" i="5"/>
  <c r="Z135" i="5"/>
  <c r="G18" i="5"/>
  <c r="G27" i="5"/>
  <c r="C28" i="5"/>
  <c r="W167" i="1"/>
  <c r="AA167" i="1" s="1"/>
  <c r="X167" i="1"/>
  <c r="Y167" i="1" s="1"/>
  <c r="AB167" i="1" s="1"/>
  <c r="Y8" i="1"/>
  <c r="AB8" i="1" s="1"/>
  <c r="G71" i="2" l="1"/>
  <c r="W104" i="2"/>
  <c r="AA104" i="2" s="1"/>
  <c r="G50" i="2"/>
  <c r="H62" i="2" s="1"/>
  <c r="I62" i="2" s="1"/>
  <c r="J62" i="2" s="1"/>
  <c r="H70" i="2"/>
  <c r="I70" i="2" s="1"/>
  <c r="J70" i="2" s="1"/>
  <c r="H47" i="2"/>
  <c r="I47" i="2" s="1"/>
  <c r="J47" i="2" s="1"/>
  <c r="H48" i="2"/>
  <c r="I48" i="2" s="1"/>
  <c r="J48" i="2" s="1"/>
  <c r="H49" i="2"/>
  <c r="I49" i="2" s="1"/>
  <c r="J49" i="2" s="1"/>
  <c r="H67" i="2"/>
  <c r="I67" i="2" s="1"/>
  <c r="J67" i="2" s="1"/>
  <c r="D26" i="2"/>
  <c r="E26" i="2" s="1"/>
  <c r="F26" i="2" s="1"/>
  <c r="D27" i="2"/>
  <c r="E27" i="2" s="1"/>
  <c r="F27" i="2" s="1"/>
  <c r="D19" i="2"/>
  <c r="E19" i="2" s="1"/>
  <c r="F19" i="2" s="1"/>
  <c r="D24" i="2"/>
  <c r="E24" i="2" s="1"/>
  <c r="F24" i="2" s="1"/>
  <c r="D21" i="2"/>
  <c r="E21" i="2" s="1"/>
  <c r="F21" i="2" s="1"/>
  <c r="D16" i="2"/>
  <c r="E16" i="2" s="1"/>
  <c r="F16" i="2" s="1"/>
  <c r="D20" i="2"/>
  <c r="E20" i="2" s="1"/>
  <c r="F20" i="2" s="1"/>
  <c r="D22" i="2"/>
  <c r="E22" i="2" s="1"/>
  <c r="F22" i="2" s="1"/>
  <c r="D18" i="2"/>
  <c r="E18" i="2" s="1"/>
  <c r="F18" i="2" s="1"/>
  <c r="G28" i="5"/>
  <c r="H17" i="5" s="1"/>
  <c r="I17" i="5" s="1"/>
  <c r="J17" i="5" s="1"/>
  <c r="D25" i="2"/>
  <c r="E25" i="2" s="1"/>
  <c r="F25" i="2" s="1"/>
  <c r="W136" i="5"/>
  <c r="AA136" i="5" s="1"/>
  <c r="K91" i="5"/>
  <c r="L85" i="5" s="1"/>
  <c r="M85" i="5" s="1"/>
  <c r="N85" i="5" s="1"/>
  <c r="W135" i="5"/>
  <c r="AA135" i="5" s="1"/>
  <c r="K70" i="5"/>
  <c r="L69" i="5" s="1"/>
  <c r="M69" i="5" s="1"/>
  <c r="N69" i="5" s="1"/>
  <c r="L86" i="5"/>
  <c r="M86" i="5" s="1"/>
  <c r="N86" i="5" s="1"/>
  <c r="X134" i="5"/>
  <c r="Y134" i="5" s="1"/>
  <c r="K49" i="5"/>
  <c r="L44" i="5" s="1"/>
  <c r="M44" i="5" s="1"/>
  <c r="N44" i="5" s="1"/>
  <c r="D23" i="2"/>
  <c r="E23" i="2" s="1"/>
  <c r="F23" i="2" s="1"/>
  <c r="F48" i="2"/>
  <c r="F40" i="2"/>
  <c r="W6" i="2"/>
  <c r="AA6" i="2" s="1"/>
  <c r="E48" i="5"/>
  <c r="F48" i="5" s="1"/>
  <c r="E47" i="5"/>
  <c r="F47" i="5" s="1"/>
  <c r="E44" i="5"/>
  <c r="E46" i="5"/>
  <c r="F46" i="5" s="1"/>
  <c r="E45" i="5"/>
  <c r="F45" i="5" s="1"/>
  <c r="D22" i="5"/>
  <c r="E22" i="5" s="1"/>
  <c r="F22" i="5" s="1"/>
  <c r="D18" i="5"/>
  <c r="E18" i="5" s="1"/>
  <c r="F18" i="5" s="1"/>
  <c r="D25" i="5"/>
  <c r="E25" i="5" s="1"/>
  <c r="F25" i="5" s="1"/>
  <c r="D23" i="5"/>
  <c r="E23" i="5" s="1"/>
  <c r="F23" i="5" s="1"/>
  <c r="D24" i="5"/>
  <c r="E24" i="5" s="1"/>
  <c r="F24" i="5" s="1"/>
  <c r="D20" i="5"/>
  <c r="E20" i="5" s="1"/>
  <c r="F20" i="5" s="1"/>
  <c r="D27" i="5"/>
  <c r="E27" i="5" s="1"/>
  <c r="F27" i="5" s="1"/>
  <c r="D16" i="5"/>
  <c r="E16" i="5" s="1"/>
  <c r="D17" i="5"/>
  <c r="E17" i="5" s="1"/>
  <c r="F17" i="5" s="1"/>
  <c r="D21" i="5"/>
  <c r="E21" i="5" s="1"/>
  <c r="F21" i="5" s="1"/>
  <c r="D19" i="5"/>
  <c r="E19" i="5" s="1"/>
  <c r="F19" i="5" s="1"/>
  <c r="D26" i="5"/>
  <c r="E26" i="5" s="1"/>
  <c r="F26" i="5" s="1"/>
  <c r="H69" i="2" l="1"/>
  <c r="I69" i="2" s="1"/>
  <c r="J69" i="2" s="1"/>
  <c r="H45" i="2"/>
  <c r="I45" i="2" s="1"/>
  <c r="J45" i="2" s="1"/>
  <c r="H39" i="2"/>
  <c r="I39" i="2" s="1"/>
  <c r="J39" i="2" s="1"/>
  <c r="H25" i="5"/>
  <c r="I25" i="5" s="1"/>
  <c r="J25" i="5" s="1"/>
  <c r="H66" i="2"/>
  <c r="I66" i="2" s="1"/>
  <c r="J66" i="2" s="1"/>
  <c r="H43" i="2"/>
  <c r="I43" i="2" s="1"/>
  <c r="J43" i="2" s="1"/>
  <c r="H41" i="2"/>
  <c r="I41" i="2" s="1"/>
  <c r="J41" i="2" s="1"/>
  <c r="H42" i="2"/>
  <c r="I42" i="2" s="1"/>
  <c r="J42" i="2" s="1"/>
  <c r="H60" i="2"/>
  <c r="I60" i="2" s="1"/>
  <c r="H65" i="2"/>
  <c r="I65" i="2" s="1"/>
  <c r="J65" i="2" s="1"/>
  <c r="H64" i="2"/>
  <c r="I64" i="2" s="1"/>
  <c r="J64" i="2" s="1"/>
  <c r="H40" i="2"/>
  <c r="I40" i="2" s="1"/>
  <c r="J40" i="2" s="1"/>
  <c r="H44" i="2"/>
  <c r="I44" i="2" s="1"/>
  <c r="J44" i="2" s="1"/>
  <c r="H63" i="2"/>
  <c r="I63" i="2" s="1"/>
  <c r="J63" i="2" s="1"/>
  <c r="H61" i="2"/>
  <c r="I61" i="2" s="1"/>
  <c r="J61" i="2" s="1"/>
  <c r="H46" i="2"/>
  <c r="I46" i="2" s="1"/>
  <c r="J46" i="2" s="1"/>
  <c r="X104" i="2" s="1"/>
  <c r="Y104" i="2" s="1"/>
  <c r="AB104" i="2" s="1"/>
  <c r="H20" i="5"/>
  <c r="I20" i="5" s="1"/>
  <c r="J20" i="5" s="1"/>
  <c r="H68" i="2"/>
  <c r="I68" i="2" s="1"/>
  <c r="J68" i="2" s="1"/>
  <c r="L89" i="5"/>
  <c r="M89" i="5" s="1"/>
  <c r="N89" i="5" s="1"/>
  <c r="L90" i="5"/>
  <c r="M90" i="5" s="1"/>
  <c r="N90" i="5" s="1"/>
  <c r="H27" i="5"/>
  <c r="I27" i="5" s="1"/>
  <c r="J27" i="5" s="1"/>
  <c r="L88" i="5"/>
  <c r="M88" i="5" s="1"/>
  <c r="N88" i="5" s="1"/>
  <c r="H19" i="5"/>
  <c r="I19" i="5" s="1"/>
  <c r="J19" i="5" s="1"/>
  <c r="H24" i="5"/>
  <c r="I24" i="5" s="1"/>
  <c r="J24" i="5" s="1"/>
  <c r="H18" i="5"/>
  <c r="I18" i="5" s="1"/>
  <c r="J18" i="5" s="1"/>
  <c r="H21" i="5"/>
  <c r="I21" i="5" s="1"/>
  <c r="J21" i="5" s="1"/>
  <c r="L65" i="5"/>
  <c r="M65" i="5" s="1"/>
  <c r="N65" i="5" s="1"/>
  <c r="L66" i="5"/>
  <c r="M66" i="5" s="1"/>
  <c r="N66" i="5" s="1"/>
  <c r="H23" i="5"/>
  <c r="I23" i="5" s="1"/>
  <c r="J23" i="5" s="1"/>
  <c r="H22" i="5"/>
  <c r="I22" i="5" s="1"/>
  <c r="J22" i="5" s="1"/>
  <c r="H26" i="5"/>
  <c r="I26" i="5" s="1"/>
  <c r="J26" i="5" s="1"/>
  <c r="L67" i="5"/>
  <c r="M67" i="5" s="1"/>
  <c r="N67" i="5" s="1"/>
  <c r="L68" i="5"/>
  <c r="M68" i="5" s="1"/>
  <c r="N68" i="5" s="1"/>
  <c r="L64" i="5"/>
  <c r="M64" i="5" s="1"/>
  <c r="N64" i="5" s="1"/>
  <c r="L46" i="5"/>
  <c r="M46" i="5" s="1"/>
  <c r="N46" i="5" s="1"/>
  <c r="L87" i="5"/>
  <c r="M87" i="5" s="1"/>
  <c r="N87" i="5" s="1"/>
  <c r="L43" i="5"/>
  <c r="M43" i="5" s="1"/>
  <c r="L45" i="5"/>
  <c r="M45" i="5" s="1"/>
  <c r="N45" i="5" s="1"/>
  <c r="L48" i="5"/>
  <c r="M48" i="5" s="1"/>
  <c r="N48" i="5" s="1"/>
  <c r="L47" i="5"/>
  <c r="M47" i="5" s="1"/>
  <c r="N47" i="5" s="1"/>
  <c r="W5" i="2"/>
  <c r="AA5" i="2" s="1"/>
  <c r="X5" i="2"/>
  <c r="Y5" i="2" s="1"/>
  <c r="AB5" i="2" s="1"/>
  <c r="X6" i="2"/>
  <c r="W109" i="5"/>
  <c r="AA109" i="5" s="1"/>
  <c r="F16" i="5"/>
  <c r="X108" i="5" s="1"/>
  <c r="Y108" i="5" s="1"/>
  <c r="AB108" i="5" s="1"/>
  <c r="W108" i="5"/>
  <c r="AA108" i="5" s="1"/>
  <c r="W6" i="5"/>
  <c r="AA6" i="5" s="1"/>
  <c r="F44" i="5"/>
  <c r="W5" i="5"/>
  <c r="AA5" i="5" s="1"/>
  <c r="X5" i="5" l="1"/>
  <c r="Y5" i="5" s="1"/>
  <c r="AB5" i="5" s="1"/>
  <c r="J60" i="2"/>
  <c r="X105" i="2" s="1"/>
  <c r="Y105" i="2" s="1"/>
  <c r="AB105" i="2" s="1"/>
  <c r="W105" i="2"/>
  <c r="AA105" i="2" s="1"/>
  <c r="X136" i="5"/>
  <c r="Y136" i="5" s="1"/>
  <c r="AB136" i="5" s="1"/>
  <c r="X135" i="5"/>
  <c r="Y135" i="5" s="1"/>
  <c r="AB135" i="5" s="1"/>
  <c r="N43" i="5"/>
  <c r="W134" i="5"/>
  <c r="AA134" i="5" s="1"/>
  <c r="Y6" i="2"/>
  <c r="AB6" i="2" s="1"/>
  <c r="X6" i="5"/>
  <c r="Y6" i="5" s="1"/>
  <c r="AB6" i="5" s="1"/>
  <c r="AB134" i="5"/>
  <c r="X109" i="5"/>
  <c r="Y109" i="5" s="1"/>
  <c r="AB109" i="5" s="1"/>
</calcChain>
</file>

<file path=xl/sharedStrings.xml><?xml version="1.0" encoding="utf-8"?>
<sst xmlns="http://schemas.openxmlformats.org/spreadsheetml/2006/main" count="1838" uniqueCount="322">
  <si>
    <t>Добыча нефти ВИНК (включая ПАО ГАЗПРОМ)</t>
  </si>
  <si>
    <t>Добыча нефти операторами СРП</t>
  </si>
  <si>
    <t>Распределение добычи нефти по категориям производителей, по годам, млн. т</t>
  </si>
  <si>
    <t>Добыча нефти (всего)</t>
  </si>
  <si>
    <t>Добыча нефти независимыми производителями</t>
  </si>
  <si>
    <t>Добыча нефти на новых месторождениях ("гринфилдах")</t>
  </si>
  <si>
    <t>н/д</t>
  </si>
  <si>
    <t>Добыча нефти на шельфе</t>
  </si>
  <si>
    <t>Источник: данные ЦДУ ТЭК.</t>
  </si>
  <si>
    <t>Добыча нефти по новым источникам добычи, по годам, млн. т</t>
  </si>
  <si>
    <t>Фонд скважин, тыс. скважин</t>
  </si>
  <si>
    <t>Доля скважин, дающих продукцию, %</t>
  </si>
  <si>
    <t>Показатель</t>
  </si>
  <si>
    <t>А</t>
  </si>
  <si>
    <t>Б</t>
  </si>
  <si>
    <t>Основные сведения о фонде скважин, осуществляющих добычу нефти</t>
  </si>
  <si>
    <t>Распределение добычи нефти по регионам, по годам, млн. т</t>
  </si>
  <si>
    <t>Европейская часть</t>
  </si>
  <si>
    <t>Западная Сибирь</t>
  </si>
  <si>
    <t>Восточная Сибирь и Дальний Восток</t>
  </si>
  <si>
    <t>УЧЕТ НЕ ОСУЩЕСТВЛЯЛСЯ (н/д)</t>
  </si>
  <si>
    <t>Наименование компании</t>
  </si>
  <si>
    <t>Запасы углеводородов на 30.12.2020</t>
  </si>
  <si>
    <t>ПАО "ЛУКОЙЛ"</t>
  </si>
  <si>
    <t>Источники:</t>
  </si>
  <si>
    <t>Распределение добычи нефти по категориям производителей, по годам, млн. баррелей</t>
  </si>
  <si>
    <t>Источник: расчет автора на основе данных ЦДУ ТЭК.</t>
  </si>
  <si>
    <t>Распределение добычи нефти по категориям производителей, по годам, млн. б.н.э</t>
  </si>
  <si>
    <t>–</t>
  </si>
  <si>
    <t>Сопоставление данных о добыче нефти, по сравнению с предыдущем периодом, млн. т</t>
  </si>
  <si>
    <t>Сопоставление данных о добычи нефти, по сравнению с ВИНК, по годам, млн. т</t>
  </si>
  <si>
    <t>Сопоставление данных о добыче нефти, по сравнению с предыдущем периодом, %</t>
  </si>
  <si>
    <t>Сопоставление данных о добыче нефти, по сравнению с базовым периодом (2010=0), %</t>
  </si>
  <si>
    <t>Удельный вес различных категорий производителей нефти в общем объеме добычи нефти, по годам, %</t>
  </si>
  <si>
    <t>Данные по нефтегазовым компаниям по категориям производителей по итогам 2018 года</t>
  </si>
  <si>
    <t>Компании</t>
  </si>
  <si>
    <t>Категория компании (1 – ВИНК, 
2 –  независимый производитель, 
3 – оператор СРП)</t>
  </si>
  <si>
    <t> Добыча нефти, тыс.т</t>
  </si>
  <si>
    <t>Ввод в эксплуатацию нефтяных скважин, шт.</t>
  </si>
  <si>
    <t>Фонд скважин, шт.</t>
  </si>
  <si>
    <t>Среднесуточный дебит скважин, т/сут.</t>
  </si>
  <si>
    <t>Средняя глубина эксплуатацинной скважины, м</t>
  </si>
  <si>
    <t>Категория производителей</t>
  </si>
  <si>
    <t>Количество компаний, единиц</t>
  </si>
  <si>
    <t>ВИНК (включая ПАО ГАЗПРОМ)</t>
  </si>
  <si>
    <t>Независимые производители</t>
  </si>
  <si>
    <t>Операторы СРП</t>
  </si>
  <si>
    <t>ЗАДАНИЕ на семинар</t>
  </si>
  <si>
    <t>1.1</t>
  </si>
  <si>
    <t>Распределение добычи нефти по категориям производителей, по годам</t>
  </si>
  <si>
    <t>перевести в млн. баррелей</t>
  </si>
  <si>
    <t>перевести в млн. б.н.э</t>
  </si>
  <si>
    <t>осуществить сопоставление в абсолютном выражении</t>
  </si>
  <si>
    <t>по годам (цепные)</t>
  </si>
  <si>
    <t>сравнение с ВИНК</t>
  </si>
  <si>
    <t>осуществить сопоставление в относительном выражении</t>
  </si>
  <si>
    <t>по годам (ОВД: цепной, 2010=0)</t>
  </si>
  <si>
    <t>между категориями производителей (ОВС, ОВК)</t>
  </si>
  <si>
    <t>1.2</t>
  </si>
  <si>
    <t>Распределение добычи нефти по регионам, по годам</t>
  </si>
  <si>
    <t>по годам</t>
  </si>
  <si>
    <t>сравнение с Европейской частью</t>
  </si>
  <si>
    <t>1.3</t>
  </si>
  <si>
    <t>Добыча нефти по новым источникам добычи, по годам</t>
  </si>
  <si>
    <t>1.4</t>
  </si>
  <si>
    <t>Основные сведения о фонде скважин, осуществляющих добычу нефти, по годам</t>
  </si>
  <si>
    <t>1.5</t>
  </si>
  <si>
    <t>между компаниями (какая относительная величина)?</t>
  </si>
  <si>
    <t>относительно запасов нефти в РФ (какая относительная величина)?</t>
  </si>
  <si>
    <r>
      <rPr>
        <b/>
        <sz val="12"/>
        <color theme="1"/>
        <rFont val="Arial"/>
        <family val="2"/>
      </rPr>
      <t>Построить таблицы</t>
    </r>
    <r>
      <rPr>
        <sz val="12"/>
        <color theme="1"/>
        <rFont val="Arial"/>
        <family val="2"/>
      </rPr>
      <t xml:space="preserve"> (MS Excel)</t>
    </r>
  </si>
  <si>
    <r>
      <rPr>
        <b/>
        <sz val="12"/>
        <color theme="1"/>
        <rFont val="Arial"/>
        <family val="2"/>
      </rPr>
      <t>Подготовить аналитическую записку о добыче нефти в РФ</t>
    </r>
    <r>
      <rPr>
        <sz val="12"/>
        <color theme="1"/>
        <rFont val="Arial"/>
        <family val="2"/>
      </rPr>
      <t xml:space="preserve"> на основе представленных данных – Сделать выводы (MS Word)</t>
    </r>
  </si>
  <si>
    <t xml:space="preserve">минимум 10 компаний </t>
  </si>
  <si>
    <t>осуществить международной сопоставление по суммарным уровням добычи нефти (минимум 10 стран, в том числе РФ)</t>
  </si>
  <si>
    <t>Дать оценку сведений о добыче нефти в РФ, 2008-2019 гг.</t>
  </si>
  <si>
    <t>по годам (ОВД: цепной, 2014=0)</t>
  </si>
  <si>
    <t>Коэффициент пересчета из тонн в баррель</t>
  </si>
  <si>
    <t>Коэффициент пересчета (из тонн в TOE)</t>
  </si>
  <si>
    <t>Коэффициент пересчета (из TOE в BOE)</t>
  </si>
  <si>
    <t>Сопоставление данных о добыче нефти различных представителей относительно ВИНК , по годам, %</t>
  </si>
  <si>
    <t>-</t>
  </si>
  <si>
    <t>Сопоставление данных о добыче нефти, по сравнению с базовым периодом (2014=0), %</t>
  </si>
  <si>
    <t>Удельный вес добычи нефти различных регионов общем объеме добычи нефти, по годам, %</t>
  </si>
  <si>
    <t>Всего</t>
  </si>
  <si>
    <t>Сопоставление добычи нефти по регионам, по годам, млн. т</t>
  </si>
  <si>
    <t>Сопоставление добычи нефти в сравнении с Европейской частью, млн. т</t>
  </si>
  <si>
    <t>Удельный вес добычи нефти различных регионов общем объеме добычи Западной Сибири, по годам, %</t>
  </si>
  <si>
    <t>Сопоставление добычи нефти по новым месторождениям, по годам, млн.т</t>
  </si>
  <si>
    <t>Среднее значение за 2008-2019 годы</t>
  </si>
  <si>
    <t>Средний темп роста за 2008-2019</t>
  </si>
  <si>
    <t>Среднее по уровню добычи в РФ за 2008-2019</t>
  </si>
  <si>
    <t>Среднее значение добычи по регионам за 2014-2019</t>
  </si>
  <si>
    <t>Среднее значение добычи за 2008-2019</t>
  </si>
  <si>
    <t>Удельный вес источников нефти в общем объеме добычи нефти, по годам, %</t>
  </si>
  <si>
    <t>Сопоставление данных о добыче нефти новых месторождений, по сравнению с предыдущим периодом, %</t>
  </si>
  <si>
    <t>Сопоставление данных о добычи нефти на шаельфе относительно "гринфилдов" , по годам, %</t>
  </si>
  <si>
    <t xml:space="preserve">Среднее значение добычи нефти </t>
  </si>
  <si>
    <t>Средний удельный вес добычи за 2014-2019</t>
  </si>
  <si>
    <t>Срднее значение за 2018 год</t>
  </si>
  <si>
    <t>Изменение фонда скважин по сравнению с предыдущим периодом, %</t>
  </si>
  <si>
    <t>Источник: составлено автором на основе данных ЦДУ ТЭК.</t>
  </si>
  <si>
    <t>Общая информация о числе скважин, дающих продукцию, тыс.скважин</t>
  </si>
  <si>
    <t>Количество скважин, дающих продукцию, тыс. скважин</t>
  </si>
  <si>
    <t>Изменение числа скважин, дающих продукцию, по сравнению с предыдущим перирдом</t>
  </si>
  <si>
    <t>Источник: составлено автром на основе данных ЦДУ ТЭК.</t>
  </si>
  <si>
    <t>Сопоставление данных о фонде скважин, осуществляющих добычу нефти, по сравнению с базовым периодом (2010=0), %</t>
  </si>
  <si>
    <t>Сопоставление данных о фонде скважин, осуществляющих добычу нефти, по сравнению с базовым периодом (2016=0), %</t>
  </si>
  <si>
    <t>Среднее значение добычи нефти на одну скважину, млн. тонн</t>
  </si>
  <si>
    <t>Объем добытой нефти на 1 скважину, млн.тон</t>
  </si>
  <si>
    <t>Сопоставление данных о добыче нефти новых месторождений, по сравнению с базовым периодом (2010=0), %</t>
  </si>
  <si>
    <t>Сопоставление данных о добыче нефти новых месторождений, по сравнению с базовым периодом (2016=0), %</t>
  </si>
  <si>
    <t>ПАО "ГАЗПРОМ"</t>
  </si>
  <si>
    <t>Размах враиации, R</t>
  </si>
  <si>
    <t>Количесвто скважин, шт</t>
  </si>
  <si>
    <t>Медиана, Ме</t>
  </si>
  <si>
    <r>
      <t>X</t>
    </r>
    <r>
      <rPr>
        <vertAlign val="subscript"/>
        <sz val="12"/>
        <color indexed="8"/>
        <rFont val="Arial"/>
        <family val="2"/>
        <charset val="204"/>
      </rPr>
      <t>мин</t>
    </r>
  </si>
  <si>
    <r>
      <t>Х</t>
    </r>
    <r>
      <rPr>
        <vertAlign val="subscript"/>
        <sz val="12"/>
        <color indexed="8"/>
        <rFont val="Arial"/>
        <family val="2"/>
        <charset val="204"/>
      </rPr>
      <t>макс</t>
    </r>
  </si>
  <si>
    <r>
      <t>Q</t>
    </r>
    <r>
      <rPr>
        <vertAlign val="subscript"/>
        <sz val="12"/>
        <color indexed="8"/>
        <rFont val="Arial"/>
        <family val="2"/>
        <charset val="204"/>
      </rPr>
      <t>1</t>
    </r>
  </si>
  <si>
    <r>
      <t>Q</t>
    </r>
    <r>
      <rPr>
        <vertAlign val="subscript"/>
        <sz val="12"/>
        <color indexed="8"/>
        <rFont val="Arial"/>
        <family val="2"/>
        <charset val="204"/>
      </rPr>
      <t>3</t>
    </r>
  </si>
  <si>
    <t>Межквартильный размах, IQR</t>
  </si>
  <si>
    <r>
      <t>Х-Х</t>
    </r>
    <r>
      <rPr>
        <vertAlign val="subscript"/>
        <sz val="12"/>
        <color theme="1"/>
        <rFont val="Calibri"/>
        <family val="2"/>
        <charset val="204"/>
        <scheme val="minor"/>
      </rPr>
      <t>ср</t>
    </r>
  </si>
  <si>
    <r>
      <t>|Х-Х</t>
    </r>
    <r>
      <rPr>
        <vertAlign val="subscript"/>
        <sz val="12"/>
        <color theme="1"/>
        <rFont val="Calibri"/>
        <family val="2"/>
        <charset val="204"/>
        <scheme val="minor"/>
      </rPr>
      <t>ср|</t>
    </r>
  </si>
  <si>
    <t>Добыча нефти</t>
  </si>
  <si>
    <t>Расчетные значения добычи нефти независимыми производителями</t>
  </si>
  <si>
    <t>Расчетные значения добычи нефти операторами СРП</t>
  </si>
  <si>
    <r>
      <t>(Х-Х</t>
    </r>
    <r>
      <rPr>
        <vertAlign val="subscript"/>
        <sz val="12"/>
        <color theme="1"/>
        <rFont val="Calibri"/>
        <family val="2"/>
        <charset val="204"/>
        <scheme val="minor"/>
      </rPr>
      <t>ср)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</si>
  <si>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Дисперсия</t>
  </si>
  <si>
    <t>Среднее значение</t>
  </si>
  <si>
    <t xml:space="preserve">Среднеквадратическое отклонение, СКО </t>
  </si>
  <si>
    <r>
      <t>Коэффициент осциляции (V</t>
    </r>
    <r>
      <rPr>
        <vertAlign val="subscript"/>
        <sz val="12"/>
        <color theme="1"/>
        <rFont val="Calibri"/>
        <family val="2"/>
        <charset val="204"/>
        <scheme val="minor"/>
      </rPr>
      <t>R</t>
    </r>
    <r>
      <rPr>
        <sz val="12"/>
        <color theme="1"/>
        <rFont val="Calibri"/>
        <family val="2"/>
        <charset val="204"/>
        <scheme val="minor"/>
      </rPr>
      <t>), %</t>
    </r>
  </si>
  <si>
    <t>Среднее линйеное (абсолютное) отклонение, L</t>
  </si>
  <si>
    <r>
      <t>Коэффициент линейного отклонения (V</t>
    </r>
    <r>
      <rPr>
        <vertAlign val="subscript"/>
        <sz val="12"/>
        <color theme="1"/>
        <rFont val="Calibri"/>
        <family val="2"/>
        <charset val="204"/>
        <scheme val="minor"/>
      </rPr>
      <t>L</t>
    </r>
    <r>
      <rPr>
        <sz val="12"/>
        <color theme="1"/>
        <rFont val="Calibri"/>
        <family val="2"/>
        <charset val="204"/>
        <scheme val="minor"/>
      </rPr>
      <t>), %</t>
    </r>
  </si>
  <si>
    <t>Коэффициент вариации (V), %</t>
  </si>
  <si>
    <t>ПАО НК "РОССНЕФТЬ"</t>
  </si>
  <si>
    <t>https://www.rosneft.ru/upload/site1/document_file/Rosneft_CSR2020_RUS.pdf</t>
  </si>
  <si>
    <t>https://www.tatneft.ru/news/4562</t>
  </si>
  <si>
    <t>ПАО "ТАТНЕФТЬ"</t>
  </si>
  <si>
    <t>https://www.novatek.ru/ru/press/releases/?id_4=4222</t>
  </si>
  <si>
    <t>ПАО "НОВАТЭК"</t>
  </si>
  <si>
    <t>ПАО АНК "БАШНЕФТЬ"</t>
  </si>
  <si>
    <t>ПАО НК "РУССНЕФТЬ"</t>
  </si>
  <si>
    <t>https://russneft.ru/upload/iblock/cf3/3bx47h8gvwu083xjof054q39eapojq2f.pdf</t>
  </si>
  <si>
    <t>https://www.gazprom.ru/f/posts/05/118974/2020-mngmnt-report-ru.pdf</t>
  </si>
  <si>
    <t>https://lukoil.ru/PressCenter/Pressreleases/Pressrelease/lukoil-zavershil-otsenku-zapasov-na-konets-2020-goda</t>
  </si>
  <si>
    <t>В</t>
  </si>
  <si>
    <t>Источник: составлено автором на основе данных отчетов компаний</t>
  </si>
  <si>
    <t>Источник: расчет автора на основе данных отчетов компаний</t>
  </si>
  <si>
    <t>Наименование страны</t>
  </si>
  <si>
    <t>Российская Федерация</t>
  </si>
  <si>
    <t>Соединенное королевство (Великобритания)</t>
  </si>
  <si>
    <t>Украина</t>
  </si>
  <si>
    <t>Объединенный Арабские Эмираты</t>
  </si>
  <si>
    <t>Саудовская Аравия</t>
  </si>
  <si>
    <t>США</t>
  </si>
  <si>
    <t>Китай</t>
  </si>
  <si>
    <t>Норвегия</t>
  </si>
  <si>
    <t>Ирак</t>
  </si>
  <si>
    <t>Кувейт</t>
  </si>
  <si>
    <t>Всего добыча по миру</t>
  </si>
  <si>
    <t>Источник: данные Росстата</t>
  </si>
  <si>
    <t>Распределение добычи нефти по странам, по годам, млн. баррелей</t>
  </si>
  <si>
    <t>Распределение добычи нефти по странама, по годам, млн. б.н.э</t>
  </si>
  <si>
    <t>Источник: расчет автора на основе данных Росстата</t>
  </si>
  <si>
    <t>Удельный вес различных стран в общем объеме добычи нефти, по годам, %</t>
  </si>
  <si>
    <t>Удельный вес различных стран в объеме добычи нефти по России, по годам, %</t>
  </si>
  <si>
    <r>
      <t>X</t>
    </r>
    <r>
      <rPr>
        <vertAlign val="subscript"/>
        <sz val="12"/>
        <color indexed="8"/>
        <rFont val="Arial"/>
        <family val="2"/>
        <charset val="204"/>
      </rPr>
      <t>max</t>
    </r>
  </si>
  <si>
    <r>
      <t>X</t>
    </r>
    <r>
      <rPr>
        <vertAlign val="subscript"/>
        <sz val="12"/>
        <color indexed="8"/>
        <rFont val="Arial"/>
        <family val="2"/>
        <charset val="204"/>
      </rPr>
      <t>min</t>
    </r>
  </si>
  <si>
    <t>Амплитуда, R</t>
  </si>
  <si>
    <t>Среднее линейное отклонение, L</t>
  </si>
  <si>
    <t>Сравнение с предущим периодом, %</t>
  </si>
  <si>
    <r>
      <t>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>ср</t>
    </r>
  </si>
  <si>
    <r>
      <t>|Х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>ср|</t>
    </r>
  </si>
  <si>
    <r>
      <t>(Х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>ср)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</si>
  <si>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Среднеквадратическое отклонение, СКО</t>
  </si>
  <si>
    <t>Медиана, ME</t>
  </si>
  <si>
    <t>Удельный вес в общем объёме, %</t>
  </si>
  <si>
    <t>Расчетные значения добычи нефти (всего), млн.т</t>
  </si>
  <si>
    <t>Расчетные значения добычи нефти ВИНК (включая ПАО ГАЗПРОМ), млн.т</t>
  </si>
  <si>
    <r>
      <t>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 xml:space="preserve">ср, </t>
    </r>
    <r>
      <rPr>
        <sz val="12"/>
        <color theme="1"/>
        <rFont val="Calibri"/>
        <family val="2"/>
        <charset val="204"/>
        <scheme val="minor"/>
      </rPr>
      <t>%</t>
    </r>
  </si>
  <si>
    <r>
      <t>|Х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 xml:space="preserve">ср|, </t>
    </r>
    <r>
      <rPr>
        <sz val="12"/>
        <color theme="1"/>
        <rFont val="Calibri"/>
        <family val="2"/>
        <charset val="204"/>
        <scheme val="minor"/>
      </rPr>
      <t>%</t>
    </r>
  </si>
  <si>
    <r>
      <t>(Х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-Х</t>
    </r>
    <r>
      <rPr>
        <vertAlign val="subscript"/>
        <sz val="12"/>
        <color theme="1"/>
        <rFont val="Calibri"/>
        <family val="2"/>
        <charset val="204"/>
        <scheme val="minor"/>
      </rPr>
      <t>ср)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, %</t>
    </r>
  </si>
  <si>
    <r>
      <t>Х-Х</t>
    </r>
    <r>
      <rPr>
        <vertAlign val="subscript"/>
        <sz val="12"/>
        <color theme="1"/>
        <rFont val="Calibri"/>
        <family val="2"/>
        <charset val="204"/>
        <scheme val="minor"/>
      </rPr>
      <t xml:space="preserve">ср, </t>
    </r>
    <r>
      <rPr>
        <sz val="12"/>
        <color theme="1"/>
        <rFont val="Calibri"/>
        <family val="2"/>
        <charset val="204"/>
        <scheme val="minor"/>
      </rPr>
      <t>%</t>
    </r>
  </si>
  <si>
    <r>
      <t>|Х-Х</t>
    </r>
    <r>
      <rPr>
        <vertAlign val="subscript"/>
        <sz val="12"/>
        <color theme="1"/>
        <rFont val="Calibri"/>
        <family val="2"/>
        <charset val="204"/>
        <scheme val="minor"/>
      </rPr>
      <t>ср|</t>
    </r>
    <r>
      <rPr>
        <sz val="12"/>
        <color theme="1"/>
        <rFont val="Calibri"/>
        <family val="2"/>
        <charset val="204"/>
        <scheme val="minor"/>
      </rPr>
      <t>, %</t>
    </r>
  </si>
  <si>
    <r>
      <t>(Х-Х</t>
    </r>
    <r>
      <rPr>
        <vertAlign val="subscript"/>
        <sz val="12"/>
        <color theme="1"/>
        <rFont val="Calibri"/>
        <family val="2"/>
        <charset val="204"/>
        <scheme val="minor"/>
      </rPr>
      <t>ср)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, %</t>
    </r>
  </si>
  <si>
    <t>Источник: расчеты автора на основе данных ЦДУ ТЭК</t>
  </si>
  <si>
    <t>Расчетные значения добычи нефти по Европейской части, млн.т</t>
  </si>
  <si>
    <t>Расчетные значения добычи нефти по Западной Сибири, млн.т</t>
  </si>
  <si>
    <t>Расчетные значения добычи нефти по Восточной Сибири и Дальнему Востоку, млн.т</t>
  </si>
  <si>
    <t>Сопоставление добычи нефти по регионам, по сравнению с предыдущим периодом, %</t>
  </si>
  <si>
    <t>Среднее значение добычи нефти</t>
  </si>
  <si>
    <t>Добыча нефти относительно общего количества</t>
  </si>
  <si>
    <t>Расчетные значения добычи нефти по новым источникам, по годам (всего), млн.т</t>
  </si>
  <si>
    <t>Год</t>
  </si>
  <si>
    <t>Расчетные значения добычи нефти на новых источниках "гринфилдах", по годам (всего), млн.т</t>
  </si>
  <si>
    <t>Среднее значение измение фонда скважин</t>
  </si>
  <si>
    <t>Среднее значение по фонду скважин</t>
  </si>
  <si>
    <t>Расчетные значения по фонду скважин, тыс.скважин</t>
  </si>
  <si>
    <t>Фонд скважин</t>
  </si>
  <si>
    <t>Расчетные значения подоле скважин, дающих продукцию, %</t>
  </si>
  <si>
    <t>525,1 (Q1-Q3: 509,9-547,0)</t>
  </si>
  <si>
    <t>464,5 (Q1-Q3: 453,1-469,5)</t>
  </si>
  <si>
    <t>46,5 (Q1-Q3: 41,9-59,9)</t>
  </si>
  <si>
    <t>14,9 (Q1-Q3: 14,3-16,1)</t>
  </si>
  <si>
    <r>
      <t>101,2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:101-101,6)</t>
    </r>
  </si>
  <si>
    <r>
      <t>100,7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100,2-101,3)</t>
    </r>
  </si>
  <si>
    <r>
      <t>104,0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102,8-106,0)</t>
    </r>
  </si>
  <si>
    <r>
      <t>103,7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101,1-105,8)</t>
    </r>
  </si>
  <si>
    <r>
      <t>88,5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86,1-88,9)</t>
    </r>
  </si>
  <si>
    <r>
      <t>8,9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8,3-10,9)</t>
    </r>
  </si>
  <si>
    <r>
      <t>2,9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2,7-3,0)</t>
    </r>
  </si>
  <si>
    <t>Медиана, Me</t>
  </si>
  <si>
    <r>
      <t>525,1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509,9-547,0)</t>
    </r>
  </si>
  <si>
    <r>
      <t>163,3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160,1-164,1)</t>
    </r>
  </si>
  <si>
    <r>
      <t>314,6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313,2-316,6)</t>
    </r>
  </si>
  <si>
    <r>
      <t>69,3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64,9-73,4)</t>
    </r>
  </si>
  <si>
    <r>
      <t>101,2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101,0-101,6)</t>
    </r>
  </si>
  <si>
    <r>
      <t>100,8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100,7-102,6)</t>
    </r>
  </si>
  <si>
    <r>
      <t>100,8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99,6-101,1)</t>
    </r>
  </si>
  <si>
    <r>
      <t>106,7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101,9-108,0)</t>
    </r>
  </si>
  <si>
    <r>
      <t>29,7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29,5-29,8)</t>
    </r>
  </si>
  <si>
    <r>
      <t>57,5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57,1-58,2)</t>
    </r>
  </si>
  <si>
    <r>
      <t>12,7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12,1-13,3)</t>
    </r>
  </si>
  <si>
    <r>
      <t>37,4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34,2-39,4)</t>
    </r>
  </si>
  <si>
    <r>
      <t>16,2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15,2-24,0)</t>
    </r>
  </si>
  <si>
    <r>
      <t>7,3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6,6-7,4)</t>
    </r>
  </si>
  <si>
    <r>
      <t>3,1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3,0-4,4)</t>
    </r>
  </si>
  <si>
    <t>Добыча нефти в общем количестве, %</t>
  </si>
  <si>
    <t>Медиана, МЕ</t>
  </si>
  <si>
    <r>
      <t>167,2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160,2-173,7)</t>
    </r>
  </si>
  <si>
    <r>
      <t>0,9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0,0-0,9)</t>
    </r>
  </si>
  <si>
    <r>
      <t>101,3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100,9-101,5)</t>
    </r>
  </si>
  <si>
    <r>
      <t>100,2 (Q</t>
    </r>
    <r>
      <rPr>
        <vertAlign val="subscript"/>
        <sz val="12"/>
        <color indexed="8"/>
        <rFont val="Arial"/>
        <family val="2"/>
        <charset val="204"/>
      </rPr>
      <t>1</t>
    </r>
    <r>
      <rPr>
        <sz val="12"/>
        <color indexed="8"/>
        <rFont val="Arial"/>
        <family val="2"/>
        <charset val="204"/>
      </rPr>
      <t>-Q</t>
    </r>
    <r>
      <rPr>
        <vertAlign val="subscript"/>
        <sz val="12"/>
        <color indexed="8"/>
        <rFont val="Arial"/>
        <family val="2"/>
        <charset val="204"/>
      </rPr>
      <t>3</t>
    </r>
    <r>
      <rPr>
        <sz val="12"/>
        <color indexed="8"/>
        <rFont val="Arial"/>
        <family val="2"/>
        <charset val="204"/>
      </rPr>
      <t>: 99,8-101,0)</t>
    </r>
  </si>
  <si>
    <t>Среднее линйеное отклонение, L</t>
  </si>
  <si>
    <t>Источник: составлено автром на основе данных Росстата</t>
  </si>
  <si>
    <t>Расчетные данные по суммарной добычи нефти в Российской Федерации, по годам, млн.т</t>
  </si>
  <si>
    <t>Расчетные данные по суммарной добычи нефти (всего), по годам,  млн.т</t>
  </si>
  <si>
    <t>Me= 4117,0 (Q1-Q3: 3994,0-4345,5)</t>
  </si>
  <si>
    <t>Me= 522,0 (Q1-Q3: 509,0-541,0)</t>
  </si>
  <si>
    <t>Расчетные данные по суммарной добычи нефти в Соединенном королевстве (Великобритании), по годам, млн.т</t>
  </si>
  <si>
    <t>Me= 47,4 (Q1-Q3: 45,0-57,4)</t>
  </si>
  <si>
    <t>Расчетные данные по суммарной добычи нефти на Украине, по годам, млн.т</t>
  </si>
  <si>
    <t>Me= 3,1 (Q1-Q3: 2,5-3,5)</t>
  </si>
  <si>
    <t>Расчетные данные по суммарной добычи нефти в Объединенных Арабских Эмиратах, по годам, млн.т</t>
  </si>
  <si>
    <t>Me= 154,0 (Q1-Q3: 139,0-177,0)</t>
  </si>
  <si>
    <t>Расчетные данные по суммарной добычи нефти в Саудовской Аравии, по годам, млн.т</t>
  </si>
  <si>
    <t>Me= 541,0 (Q1-Q3: 490,5-560,5)</t>
  </si>
  <si>
    <t>Расчетные данные по суммарной добычи нефти в США, по годам, млн.т</t>
  </si>
  <si>
    <t>Me= 448,0 (Q1-Q3: 336,5-549,0)</t>
  </si>
  <si>
    <t>Расчетные данные по суммарной добычи нефти в Китае, по годам, млн.т</t>
  </si>
  <si>
    <t>Me= 203,0 (Q1-Q3: 193,5-209,0)</t>
  </si>
  <si>
    <t>Расчетные данные по суммарной добычи нефти в Норвегии, по годам, млн.т</t>
  </si>
  <si>
    <t>Me= 89,0 (Q1-Q3: 86,0-96,7)</t>
  </si>
  <si>
    <t>Расчетные данные по суммарной добычи нефти в Ираке, по годам, млн.т</t>
  </si>
  <si>
    <t>Me= 148,0 (Q1-Q3: 125,5-197,5)</t>
  </si>
  <si>
    <t>Расчетные данные по суммарной добычи нефти в Кувейте, по годам, млн.т</t>
  </si>
  <si>
    <t>Me= 147,7 (Q1-Q3: 138,0-153,5)</t>
  </si>
  <si>
    <t>Среднее значение изменения добычи нефти</t>
  </si>
  <si>
    <t>100,9 (Q1-Q3: 100,0-102,4)</t>
  </si>
  <si>
    <t>101,3 (Q1-Q3: 100,9-101,7)</t>
  </si>
  <si>
    <t>98,2 (Q1-Q3: 92,4-103,6)</t>
  </si>
  <si>
    <t>94,2 (Q1-Q3: 90,8-96,1)</t>
  </si>
  <si>
    <t>103,7 (Q1-Q3: 102,0-107,1)</t>
  </si>
  <si>
    <t>103,4 (Q1-Q3: 98,7-105,0)</t>
  </si>
  <si>
    <t>110,4 (Q1-Q3: 106,0-116,6)</t>
  </si>
  <si>
    <t>100,5 (Q1-Q3: 97,6-101,3)</t>
  </si>
  <si>
    <t>97,0 (Q1-Q3: 94,1-100,8)</t>
  </si>
  <si>
    <t>106,5 (Q1-Q3: 102,5-112,8)</t>
  </si>
  <si>
    <t>100,6 (Q1-Q3: 98,1-106,9)</t>
  </si>
  <si>
    <t>Среднее изменение добычи нефти, %</t>
  </si>
  <si>
    <t>Расчетные значения по нефтегазовым компаниям по категориям производителей по итогам 2018 года</t>
  </si>
  <si>
    <t>297,5 (Q1-Q3: 155,3-490,8)</t>
  </si>
  <si>
    <t>4,0 (Q1-Q3: 2,0-7,0)</t>
  </si>
  <si>
    <t>76,0 (Q1-Q3: 45,0-148,8)</t>
  </si>
  <si>
    <t>9,7 (Q1-Q3: 7,7-13,2)</t>
  </si>
  <si>
    <t xml:space="preserve">https://www.sinref.ru/000_uchebniki/04600_raznie_11/170_976_Bashneft_godovoi_2020_04600_raznie_13/003.htm </t>
  </si>
  <si>
    <t>Итого:</t>
  </si>
  <si>
    <t>Среднесуточный дебит скважин,тонны за год</t>
  </si>
  <si>
    <t>Общий объем добычи нефти в 2018 году</t>
  </si>
  <si>
    <t>Количесто скважин по категориям компаний, тыс. скважин</t>
  </si>
  <si>
    <t>Среднесуточный дебит скважин по РФ</t>
  </si>
  <si>
    <t>https://www.sinref.ru/000_uchebniki/04600_raznie_13/593_Mosenergo-godovoi-za-2021-god/006.htm</t>
  </si>
  <si>
    <t>ПАО "НГК СЛАВНЕФТЬ"</t>
  </si>
  <si>
    <t>ПАО "ЛУКОЙЛ-ПЕРМЬ"</t>
  </si>
  <si>
    <t>ООО "ЛУКОЙЛ-Калининградморнефть"</t>
  </si>
  <si>
    <t>Анализ ООО "ЛУКОЙЛ-Калининградморнефть" за 2020 год</t>
  </si>
  <si>
    <t>https://neftegaz.ru/news/dobycha/659761-lukoyl-kaliningradmorneft-v-2020-g-snizil-dobychu-nefti-na-10/</t>
  </si>
  <si>
    <t>https://permneft-portal.ru/</t>
  </si>
  <si>
    <t>1.6</t>
  </si>
  <si>
    <t>Международное сопоставление по суммарным уровням добычи нефти</t>
  </si>
  <si>
    <t>1.7</t>
  </si>
  <si>
    <t>Данные по категориям производителей нефти по итогам 2018 года</t>
  </si>
  <si>
    <t>1.8</t>
  </si>
  <si>
    <t>Данные по нефтегазовым компаниям по итогам 2018 года</t>
  </si>
  <si>
    <t>Общая тенденция развития за 2008-2020</t>
  </si>
  <si>
    <t>Темпы роста за 2008-2019</t>
  </si>
  <si>
    <t>сравнение с одной из ВИНК (на выбор студента с учетом обоснования)</t>
  </si>
  <si>
    <t>Размах вариации, R</t>
  </si>
  <si>
    <t>между регионами (ОВС, ОВК)</t>
  </si>
  <si>
    <t>Запасы углеводородов (доказанные) на 30.12.2019 и 30.12.2020, млн. б.н.э</t>
  </si>
  <si>
    <t>Международное сопоставление по суммарным уровням добычи нефти, млн.т</t>
  </si>
  <si>
    <t>Запасы углеводородов на 30.12.2019</t>
  </si>
  <si>
    <t>Оценка запасов ПАО "ЛУКОЙЛ"  за 2020/2019 год</t>
  </si>
  <si>
    <t>Годовой отчет ПАО "ГАЗПРОМ" за 2020/2019 год</t>
  </si>
  <si>
    <t>Отчет в области устойчивого развития 2020/2019 ПАО НК "РОССНЕФТЬ"</t>
  </si>
  <si>
    <t>Результаты аудита запасов нефти и газа ПАО "ТАТНЕФТЬ" за 2020/2019</t>
  </si>
  <si>
    <t>Восполнение запасов ПАО «НОВАТЭК» в 2020/2019 году</t>
  </si>
  <si>
    <t>Годовой отчет за 2020/2019 год "БАШНЕФТЬ"</t>
  </si>
  <si>
    <t>Годовой отчет ПАО "ЛУКОЙЛ-ПЕРМЬ" за 2020/2019 год</t>
  </si>
  <si>
    <t>https://lukoil.ru/PressCenter/Pressreleases/Pressrelease/lukoil-zavershil-otsenku-zapasov-na-konets-2019-goda</t>
  </si>
  <si>
    <t>https://www.gazprom.ru/f/posts/77/885487/2019-mgt-report-ru.pdf</t>
  </si>
  <si>
    <t>https://www.novatek.ru/ru/press/releases/archive/index.php?id_4=3692</t>
  </si>
  <si>
    <t>https://www.tatneft.ru/news/62?ysclid=mp6yfb06id253450951</t>
  </si>
  <si>
    <t>https://bashneft.rosneft.ru/files/iblock/092/Годовой_отчет_2019.pdf</t>
  </si>
  <si>
    <t>https://earchive.tpu.ru/bitstream/11683/68703/1/conference_tpu-2021-C11_V2_p478-479.pdf</t>
  </si>
  <si>
    <t xml:space="preserve">Годовой отчет за 2020 год "РУССНЕФТЬ"/ Статья о запасах углеводородов на 2019 год </t>
  </si>
  <si>
    <t>https://www.interfax-russia.ru/volga/news/lukoyl-perm-v-2019g-planiruet-uvelichit-neftedobychu-pochti-na-2-gaza-sohranit-na-urovne-2018</t>
  </si>
  <si>
    <t>Годовой отчет ПАО "НГК СЛАВНЕФТЬ" за 2020/2019 год</t>
  </si>
  <si>
    <t>https://vk.com/away.php?to=https%3A%2F%2Fwww.e-disclosure.ru%2Fportal%2FFileLoad.ashx%3FFileid%3D1535955&amp;utf=1</t>
  </si>
  <si>
    <t>https://vk.com/away.php?to=https%3A%2F%2Fneftegaz.ru%2Fnews%2Fdobycha%2F522700-lukoyl-kaliningradmorneft-v-2019-g-uvelichil-dobychu-nefti-na-shelfe-baltiki-na-3-1%2F&amp;utf=1</t>
  </si>
  <si>
    <t>Запасы углеводородов на 30.12.2020 и 30.12.2019 по сравнению с ПАО "ЛУКОЙЛ" в абсолютном выражении, млн. б.н.э</t>
  </si>
  <si>
    <t>Запасы углеводородов на 30.12.2020 и 30.12.2019 по сравнению с ПАО "ЛУКОЙЛ", %</t>
  </si>
  <si>
    <t>Запасы углеводородов на 30.12.2020 и 30.12.2019 по сравнению с общей добычей, %</t>
  </si>
  <si>
    <t>Запасы углеводородов на 30.12.2020 и 30.12.2019 по сравнению с ПАО "ГАЗПРОМ",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</si>
</sst>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0.0"/>
    <numFmt numFmtId="166" formatCode="0.0%"/>
    <numFmt numFmtId="167" formatCode="_-* #,##0.0\ _₽_-;\-* #,##0.0\ _₽_-;_-* &quot;-&quot;?\ _₽_-;_-@_-"/>
    <numFmt numFmtId="168" formatCode="0.0000000"/>
  </numFmts>
  <fonts count="20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indexed="8"/>
      <name val="Arial"/>
      <family val="2"/>
      <charset val="20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2"/>
      <color theme="1"/>
      <name val="Calibri"/>
      <family val="2"/>
      <charset val="204"/>
      <scheme val="minor"/>
    </font>
    <font>
      <i/>
      <sz val="12"/>
      <color indexed="8"/>
      <name val="Arial"/>
      <family val="2"/>
      <charset val="204"/>
    </font>
    <font>
      <i/>
      <sz val="12"/>
      <color theme="1"/>
      <name val="Arial"/>
      <family val="2"/>
    </font>
    <font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vertAlign val="subscript"/>
      <sz val="12"/>
      <color indexed="8"/>
      <name val="Arial"/>
      <family val="2"/>
      <charset val="204"/>
    </font>
    <font>
      <vertAlign val="subscript"/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i/>
      <sz val="12"/>
      <color theme="1"/>
      <name val="Arial"/>
      <family val="2"/>
      <charset val="204"/>
    </font>
    <font>
      <u/>
      <sz val="12"/>
      <color theme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165" fontId="2" fillId="0" borderId="2" xfId="0" applyNumberFormat="1" applyFont="1" applyBorder="1" applyAlignment="1">
      <alignment horizontal="right" wrapText="1" indent="2"/>
    </xf>
    <xf numFmtId="0" fontId="3" fillId="0" borderId="0" xfId="0" applyFont="1"/>
    <xf numFmtId="165" fontId="2" fillId="3" borderId="2" xfId="0" applyNumberFormat="1" applyFont="1" applyFill="1" applyBorder="1" applyAlignment="1">
      <alignment horizontal="right" wrapText="1" indent="2"/>
    </xf>
    <xf numFmtId="0" fontId="4" fillId="0" borderId="0" xfId="0" applyFont="1"/>
    <xf numFmtId="0" fontId="5" fillId="0" borderId="0" xfId="0" applyFont="1"/>
    <xf numFmtId="165" fontId="2" fillId="0" borderId="2" xfId="1" applyNumberFormat="1" applyFont="1" applyFill="1" applyBorder="1" applyAlignment="1">
      <alignment horizontal="right" wrapText="1" indent="2"/>
    </xf>
    <xf numFmtId="165" fontId="2" fillId="0" borderId="2" xfId="1" applyNumberFormat="1" applyFont="1" applyBorder="1" applyAlignment="1">
      <alignment horizontal="right" wrapText="1" indent="2"/>
    </xf>
    <xf numFmtId="166" fontId="2" fillId="0" borderId="2" xfId="1" applyNumberFormat="1" applyFont="1" applyFill="1" applyBorder="1" applyAlignment="1">
      <alignment horizontal="right" wrapText="1" indent="2"/>
    </xf>
    <xf numFmtId="0" fontId="2" fillId="0" borderId="2" xfId="0" applyFont="1" applyBorder="1" applyAlignment="1">
      <alignment horizontal="left" wrapText="1" indent="2"/>
    </xf>
    <xf numFmtId="0" fontId="2" fillId="0" borderId="2" xfId="0" applyFont="1" applyBorder="1" applyAlignment="1">
      <alignment horizontal="left" vertical="top" wrapText="1" indent="2"/>
    </xf>
    <xf numFmtId="0" fontId="8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right" wrapText="1" indent="2"/>
    </xf>
    <xf numFmtId="2" fontId="3" fillId="0" borderId="2" xfId="0" applyNumberFormat="1" applyFont="1" applyBorder="1"/>
    <xf numFmtId="1" fontId="2" fillId="0" borderId="2" xfId="0" applyNumberFormat="1" applyFont="1" applyBorder="1" applyAlignment="1">
      <alignment horizontal="right" wrapText="1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vertical="center" indent="4"/>
    </xf>
    <xf numFmtId="0" fontId="3" fillId="6" borderId="0" xfId="0" applyFont="1" applyFill="1"/>
    <xf numFmtId="0" fontId="3" fillId="6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wrapText="1" indent="2"/>
    </xf>
    <xf numFmtId="167" fontId="2" fillId="0" borderId="2" xfId="2" applyNumberFormat="1" applyFont="1" applyBorder="1" applyAlignment="1">
      <alignment horizontal="right" wrapText="1" indent="2"/>
    </xf>
    <xf numFmtId="0" fontId="2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wrapText="1"/>
    </xf>
    <xf numFmtId="0" fontId="10" fillId="0" borderId="0" xfId="0" applyFont="1"/>
    <xf numFmtId="0" fontId="2" fillId="0" borderId="0" xfId="0" applyFont="1" applyAlignment="1">
      <alignment horizontal="left" wrapText="1" indent="2"/>
    </xf>
    <xf numFmtId="165" fontId="2" fillId="0" borderId="0" xfId="0" applyNumberFormat="1" applyFont="1" applyAlignment="1">
      <alignment horizontal="right" wrapText="1" indent="2"/>
    </xf>
    <xf numFmtId="165" fontId="2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" fillId="0" borderId="2" xfId="0" applyNumberFormat="1" applyFont="1" applyBorder="1" applyAlignment="1">
      <alignment horizontal="center" wrapText="1"/>
    </xf>
    <xf numFmtId="165" fontId="2" fillId="0" borderId="2" xfId="1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1" fontId="2" fillId="0" borderId="2" xfId="0" applyNumberFormat="1" applyFont="1" applyBorder="1" applyAlignment="1">
      <alignment horizontal="center" wrapText="1"/>
    </xf>
    <xf numFmtId="0" fontId="11" fillId="0" borderId="0" xfId="0" applyFont="1"/>
    <xf numFmtId="0" fontId="2" fillId="0" borderId="0" xfId="0" applyFont="1" applyAlignment="1">
      <alignment wrapText="1"/>
    </xf>
    <xf numFmtId="166" fontId="2" fillId="0" borderId="0" xfId="1" applyNumberFormat="1" applyFont="1" applyFill="1" applyBorder="1" applyAlignment="1">
      <alignment horizontal="right" wrapText="1" indent="2"/>
    </xf>
    <xf numFmtId="166" fontId="2" fillId="0" borderId="0" xfId="1" applyNumberFormat="1" applyFont="1" applyBorder="1" applyAlignment="1">
      <alignment horizontal="right" wrapText="1" indent="2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indent="1"/>
    </xf>
    <xf numFmtId="165" fontId="2" fillId="0" borderId="0" xfId="1" applyNumberFormat="1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0" fontId="15" fillId="0" borderId="0" xfId="0" applyFont="1"/>
    <xf numFmtId="165" fontId="3" fillId="0" borderId="2" xfId="0" applyNumberFormat="1" applyFont="1" applyBorder="1"/>
    <xf numFmtId="165" fontId="3" fillId="0" borderId="2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right" wrapText="1" indent="2"/>
    </xf>
    <xf numFmtId="165" fontId="2" fillId="6" borderId="2" xfId="0" applyNumberFormat="1" applyFont="1" applyFill="1" applyBorder="1" applyAlignment="1">
      <alignment horizontal="right" wrapText="1" indent="2"/>
    </xf>
    <xf numFmtId="165" fontId="10" fillId="6" borderId="2" xfId="0" applyNumberFormat="1" applyFont="1" applyFill="1" applyBorder="1" applyAlignment="1">
      <alignment horizontal="right" wrapText="1" indent="2"/>
    </xf>
    <xf numFmtId="0" fontId="2" fillId="0" borderId="0" xfId="0" applyFont="1" applyAlignment="1">
      <alignment horizontal="left" wrapText="1"/>
    </xf>
    <xf numFmtId="0" fontId="10" fillId="0" borderId="2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165" fontId="10" fillId="6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left" indent="1"/>
    </xf>
    <xf numFmtId="0" fontId="10" fillId="0" borderId="2" xfId="0" applyFont="1" applyBorder="1"/>
    <xf numFmtId="0" fontId="8" fillId="0" borderId="0" xfId="0" applyFont="1" applyAlignment="1">
      <alignment horizontal="center" wrapText="1"/>
    </xf>
    <xf numFmtId="0" fontId="10" fillId="0" borderId="2" xfId="0" applyFont="1" applyBorder="1" applyAlignment="1">
      <alignment wrapText="1"/>
    </xf>
    <xf numFmtId="0" fontId="17" fillId="0" borderId="2" xfId="3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7" fillId="0" borderId="2" xfId="3" applyFill="1" applyBorder="1" applyAlignment="1">
      <alignment horizontal="center" wrapText="1"/>
    </xf>
    <xf numFmtId="0" fontId="19" fillId="0" borderId="2" xfId="3" applyFont="1" applyFill="1" applyBorder="1" applyAlignment="1">
      <alignment horizontal="center" wrapText="1"/>
    </xf>
    <xf numFmtId="0" fontId="17" fillId="0" borderId="2" xfId="3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65" fontId="2" fillId="7" borderId="10" xfId="1" applyNumberFormat="1" applyFont="1" applyFill="1" applyBorder="1" applyAlignment="1">
      <alignment horizontal="center" vertical="center" wrapText="1"/>
    </xf>
    <xf numFmtId="165" fontId="2" fillId="7" borderId="9" xfId="1" applyNumberFormat="1" applyFont="1" applyFill="1" applyBorder="1" applyAlignment="1">
      <alignment horizontal="center" vertical="center" wrapText="1"/>
    </xf>
    <xf numFmtId="165" fontId="2" fillId="7" borderId="14" xfId="1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right" wrapText="1" indent="2"/>
    </xf>
  </cellXfs>
  <cellStyles count="4">
    <cellStyle name="Гиперссылка" xfId="3" builtinId="8"/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sneft.ru/upload/site1/document_file/Rosneft_CSR2020_RUS.pdf" TargetMode="External"/><Relationship Id="rId13" Type="http://schemas.openxmlformats.org/officeDocument/2006/relationships/hyperlink" Target="https://www.sinref.ru/000_uchebniki/04600_raznie_13/593_Mosenergo-godovoi-za-2021-god/006.htm" TargetMode="External"/><Relationship Id="rId3" Type="http://schemas.openxmlformats.org/officeDocument/2006/relationships/hyperlink" Target="https://www.sinref.ru/000_uchebniki/04600_raznie_11/170_976_Bashneft_godovoi_2020_04600_raznie_13/003.htm" TargetMode="External"/><Relationship Id="rId7" Type="http://schemas.openxmlformats.org/officeDocument/2006/relationships/hyperlink" Target="https://www.rosneft.ru/upload/site1/document_file/Rosneft_CSR2020_RUS.pdf" TargetMode="External"/><Relationship Id="rId12" Type="http://schemas.openxmlformats.org/officeDocument/2006/relationships/hyperlink" Target="https://earchive.tpu.ru/bitstream/11683/68703/1/conference_tpu-2021-C11_V2_p478-479.pdf" TargetMode="External"/><Relationship Id="rId2" Type="http://schemas.openxmlformats.org/officeDocument/2006/relationships/hyperlink" Target="https://www.tatneft.ru/news/4562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russneft.ru/upload/iblock/cf3/3bx47h8gvwu083xjof054q39eapojq2f.pdf" TargetMode="External"/><Relationship Id="rId6" Type="http://schemas.openxmlformats.org/officeDocument/2006/relationships/hyperlink" Target="https://www.gazprom.ru/f/posts/05/118974/2020-mngmnt-report-ru.pdf" TargetMode="External"/><Relationship Id="rId11" Type="http://schemas.openxmlformats.org/officeDocument/2006/relationships/hyperlink" Target="https://bashneft.rosneft.ru/files/iblock/092/&#1043;&#1086;&#1076;&#1086;&#1074;&#1086;&#1081;_&#1086;&#1090;&#1095;&#1077;&#1090;_2019.pdf" TargetMode="External"/><Relationship Id="rId5" Type="http://schemas.openxmlformats.org/officeDocument/2006/relationships/hyperlink" Target="https://lukoil.ru/PressCenter/Pressreleases/Pressrelease/lukoil-zavershil-otsenku-zapasov-na-konets-2019-goda" TargetMode="External"/><Relationship Id="rId15" Type="http://schemas.openxmlformats.org/officeDocument/2006/relationships/hyperlink" Target="https://www.interfax-russia.ru/volga/news/lukoyl-perm-v-2019g-planiruet-uvelichit-neftedobychu-pochti-na-2-gaza-sohranit-na-urovne-2018" TargetMode="External"/><Relationship Id="rId10" Type="http://schemas.openxmlformats.org/officeDocument/2006/relationships/hyperlink" Target="https://www.tatneft.ru/news/62?ysclid=mp6yfb06id253450951" TargetMode="External"/><Relationship Id="rId4" Type="http://schemas.openxmlformats.org/officeDocument/2006/relationships/hyperlink" Target="https://lukoil.ru/PressCenter/Pressreleases/Pressrelease/lukoil-zavershil-otsenku-zapasov-na-konets-2020-goda" TargetMode="External"/><Relationship Id="rId9" Type="http://schemas.openxmlformats.org/officeDocument/2006/relationships/hyperlink" Target="https://www.novatek.ru/ru/press/releases/?id_4=4222" TargetMode="External"/><Relationship Id="rId14" Type="http://schemas.openxmlformats.org/officeDocument/2006/relationships/hyperlink" Target="https://permneft-portal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A8" zoomScale="84" workbookViewId="0">
      <selection activeCell="B23" sqref="B23"/>
    </sheetView>
  </sheetViews>
  <sheetFormatPr defaultColWidth="11" defaultRowHeight="15.75" x14ac:dyDescent="0.25"/>
  <cols>
    <col min="1" max="1" width="7.625" customWidth="1"/>
    <col min="2" max="2" width="86.25" customWidth="1"/>
    <col min="3" max="3" width="24.125" customWidth="1"/>
  </cols>
  <sheetData>
    <row r="1" spans="1:3" x14ac:dyDescent="0.25">
      <c r="A1" s="27" t="s">
        <v>47</v>
      </c>
      <c r="B1" s="6"/>
      <c r="C1" s="6"/>
    </row>
    <row r="2" spans="1:3" x14ac:dyDescent="0.25">
      <c r="A2" s="28"/>
      <c r="B2" s="6"/>
      <c r="C2" s="6"/>
    </row>
    <row r="3" spans="1:3" x14ac:dyDescent="0.25">
      <c r="A3" s="29">
        <v>1</v>
      </c>
      <c r="B3" s="8" t="s">
        <v>73</v>
      </c>
      <c r="C3" s="6"/>
    </row>
    <row r="4" spans="1:3" x14ac:dyDescent="0.25">
      <c r="A4" s="29" t="s">
        <v>48</v>
      </c>
      <c r="B4" s="8" t="s">
        <v>49</v>
      </c>
      <c r="C4" s="6"/>
    </row>
    <row r="5" spans="1:3" x14ac:dyDescent="0.25">
      <c r="A5" s="28"/>
      <c r="B5" s="30" t="s">
        <v>50</v>
      </c>
      <c r="C5" s="6"/>
    </row>
    <row r="6" spans="1:3" x14ac:dyDescent="0.25">
      <c r="A6" s="28"/>
      <c r="B6" s="30" t="s">
        <v>51</v>
      </c>
      <c r="C6" s="6"/>
    </row>
    <row r="7" spans="1:3" x14ac:dyDescent="0.25">
      <c r="A7" s="28"/>
      <c r="B7" s="30" t="s">
        <v>52</v>
      </c>
      <c r="C7" s="6"/>
    </row>
    <row r="8" spans="1:3" x14ac:dyDescent="0.25">
      <c r="A8" s="28"/>
      <c r="B8" s="31" t="s">
        <v>53</v>
      </c>
      <c r="C8" s="6"/>
    </row>
    <row r="9" spans="1:3" x14ac:dyDescent="0.25">
      <c r="A9" s="28"/>
      <c r="B9" s="31" t="s">
        <v>54</v>
      </c>
      <c r="C9" s="6"/>
    </row>
    <row r="10" spans="1:3" x14ac:dyDescent="0.25">
      <c r="A10" s="28"/>
      <c r="B10" s="30" t="s">
        <v>55</v>
      </c>
      <c r="C10" s="6"/>
    </row>
    <row r="11" spans="1:3" x14ac:dyDescent="0.25">
      <c r="A11" s="28"/>
      <c r="B11" s="31" t="s">
        <v>56</v>
      </c>
      <c r="C11" s="6"/>
    </row>
    <row r="12" spans="1:3" x14ac:dyDescent="0.25">
      <c r="A12" s="28"/>
      <c r="B12" s="31" t="s">
        <v>57</v>
      </c>
      <c r="C12" s="6"/>
    </row>
    <row r="13" spans="1:3" x14ac:dyDescent="0.25">
      <c r="A13" s="29" t="s">
        <v>58</v>
      </c>
      <c r="B13" s="8" t="s">
        <v>59</v>
      </c>
      <c r="C13" s="6"/>
    </row>
    <row r="14" spans="1:3" x14ac:dyDescent="0.25">
      <c r="A14" s="28"/>
      <c r="B14" s="30" t="s">
        <v>52</v>
      </c>
      <c r="C14" s="6"/>
    </row>
    <row r="15" spans="1:3" x14ac:dyDescent="0.25">
      <c r="A15" s="28"/>
      <c r="B15" s="31" t="s">
        <v>60</v>
      </c>
      <c r="C15" s="6"/>
    </row>
    <row r="16" spans="1:3" x14ac:dyDescent="0.25">
      <c r="A16" s="28"/>
      <c r="B16" s="31" t="s">
        <v>61</v>
      </c>
      <c r="C16" s="6"/>
    </row>
    <row r="17" spans="1:3" x14ac:dyDescent="0.25">
      <c r="A17" s="28"/>
      <c r="B17" s="30" t="s">
        <v>55</v>
      </c>
      <c r="C17" s="6"/>
    </row>
    <row r="18" spans="1:3" x14ac:dyDescent="0.25">
      <c r="A18" s="28"/>
      <c r="B18" s="31" t="s">
        <v>74</v>
      </c>
      <c r="C18" s="6"/>
    </row>
    <row r="19" spans="1:3" x14ac:dyDescent="0.25">
      <c r="A19" s="28"/>
      <c r="B19" s="31" t="s">
        <v>296</v>
      </c>
      <c r="C19" s="6"/>
    </row>
    <row r="20" spans="1:3" x14ac:dyDescent="0.25">
      <c r="A20" s="29" t="s">
        <v>62</v>
      </c>
      <c r="B20" s="8" t="s">
        <v>63</v>
      </c>
      <c r="C20" s="6"/>
    </row>
    <row r="21" spans="1:3" x14ac:dyDescent="0.25">
      <c r="A21" s="29" t="s">
        <v>64</v>
      </c>
      <c r="B21" s="8" t="s">
        <v>65</v>
      </c>
      <c r="C21" s="6"/>
    </row>
    <row r="22" spans="1:3" x14ac:dyDescent="0.25">
      <c r="A22" s="29" t="s">
        <v>66</v>
      </c>
      <c r="B22" s="8" t="s">
        <v>297</v>
      </c>
      <c r="C22" s="6"/>
    </row>
    <row r="23" spans="1:3" x14ac:dyDescent="0.25">
      <c r="A23" s="28"/>
      <c r="B23" s="30" t="s">
        <v>71</v>
      </c>
      <c r="C23" s="6"/>
    </row>
    <row r="24" spans="1:3" x14ac:dyDescent="0.25">
      <c r="A24" s="28"/>
      <c r="B24" s="30" t="s">
        <v>52</v>
      </c>
      <c r="C24" s="6"/>
    </row>
    <row r="25" spans="1:3" x14ac:dyDescent="0.25">
      <c r="A25" s="28"/>
      <c r="B25" s="31" t="s">
        <v>294</v>
      </c>
      <c r="C25" s="6"/>
    </row>
    <row r="26" spans="1:3" x14ac:dyDescent="0.25">
      <c r="A26" s="28"/>
      <c r="B26" s="30" t="s">
        <v>55</v>
      </c>
      <c r="C26" s="6"/>
    </row>
    <row r="27" spans="1:3" x14ac:dyDescent="0.25">
      <c r="A27" s="28"/>
      <c r="B27" s="31" t="s">
        <v>67</v>
      </c>
      <c r="C27" s="6"/>
    </row>
    <row r="28" spans="1:3" x14ac:dyDescent="0.25">
      <c r="A28" s="28"/>
      <c r="B28" s="32" t="s">
        <v>68</v>
      </c>
      <c r="C28" s="6"/>
    </row>
    <row r="29" spans="1:3" x14ac:dyDescent="0.25">
      <c r="A29" s="29" t="s">
        <v>286</v>
      </c>
      <c r="B29" s="8" t="s">
        <v>287</v>
      </c>
      <c r="C29" s="6"/>
    </row>
    <row r="30" spans="1:3" ht="30.75" x14ac:dyDescent="0.25">
      <c r="A30" s="28"/>
      <c r="B30" s="35" t="s">
        <v>72</v>
      </c>
      <c r="C30" s="6"/>
    </row>
    <row r="31" spans="1:3" x14ac:dyDescent="0.25">
      <c r="A31" s="29" t="s">
        <v>288</v>
      </c>
      <c r="B31" s="8" t="s">
        <v>289</v>
      </c>
      <c r="C31" s="6"/>
    </row>
    <row r="32" spans="1:3" x14ac:dyDescent="0.25">
      <c r="A32" s="29" t="s">
        <v>290</v>
      </c>
      <c r="B32" s="8" t="s">
        <v>291</v>
      </c>
      <c r="C32" s="6"/>
    </row>
    <row r="33" spans="1:3" x14ac:dyDescent="0.25">
      <c r="A33" s="28"/>
      <c r="B33" s="6"/>
      <c r="C33" s="6"/>
    </row>
    <row r="34" spans="1:3" x14ac:dyDescent="0.25">
      <c r="A34" s="28"/>
      <c r="B34" s="33" t="s">
        <v>69</v>
      </c>
      <c r="C34" s="6"/>
    </row>
    <row r="35" spans="1:3" ht="30.75" x14ac:dyDescent="0.25">
      <c r="A35" s="28"/>
      <c r="B35" s="34" t="s">
        <v>70</v>
      </c>
      <c r="C35" s="6"/>
    </row>
    <row r="36" spans="1:3" x14ac:dyDescent="0.25">
      <c r="A36" s="28"/>
      <c r="B36" s="6"/>
      <c r="C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0"/>
  <sheetViews>
    <sheetView topLeftCell="H92" zoomScaleNormal="100" workbookViewId="0">
      <selection activeCell="H126" sqref="H126"/>
    </sheetView>
  </sheetViews>
  <sheetFormatPr defaultColWidth="11" defaultRowHeight="15.75" x14ac:dyDescent="0.25"/>
  <cols>
    <col min="1" max="1" width="51.75" customWidth="1"/>
    <col min="2" max="2" width="20.25" bestFit="1" customWidth="1"/>
    <col min="3" max="3" width="13.5" customWidth="1"/>
    <col min="4" max="4" width="16.25" customWidth="1"/>
    <col min="5" max="14" width="13.5" customWidth="1"/>
    <col min="15" max="15" width="19.25" bestFit="1" customWidth="1"/>
    <col min="16" max="17" width="11" customWidth="1"/>
    <col min="18" max="20" width="12.5" customWidth="1"/>
    <col min="21" max="21" width="17.25" bestFit="1" customWidth="1"/>
    <col min="22" max="22" width="18.75" bestFit="1" customWidth="1"/>
    <col min="23" max="23" width="12.5" customWidth="1"/>
    <col min="24" max="24" width="10.75" bestFit="1" customWidth="1"/>
    <col min="25" max="25" width="25.75" customWidth="1"/>
    <col min="26" max="26" width="16.75" customWidth="1"/>
    <col min="27" max="27" width="23.25" bestFit="1" customWidth="1"/>
    <col min="28" max="28" width="15.75" customWidth="1"/>
    <col min="29" max="29" width="15.625" bestFit="1" customWidth="1"/>
    <col min="30" max="30" width="16.25" bestFit="1" customWidth="1"/>
  </cols>
  <sheetData>
    <row r="1" spans="1:28" x14ac:dyDescent="0.25">
      <c r="A1" s="9" t="s">
        <v>2</v>
      </c>
    </row>
    <row r="3" spans="1:28" ht="90" x14ac:dyDescent="0.25">
      <c r="A3" s="82" t="s">
        <v>12</v>
      </c>
      <c r="B3" s="82"/>
      <c r="C3" s="2">
        <v>2008</v>
      </c>
      <c r="D3" s="2">
        <v>2009</v>
      </c>
      <c r="E3" s="2">
        <v>2010</v>
      </c>
      <c r="F3" s="2">
        <v>2011</v>
      </c>
      <c r="G3" s="2">
        <v>2012</v>
      </c>
      <c r="H3" s="2">
        <v>2013</v>
      </c>
      <c r="I3" s="2">
        <v>2014</v>
      </c>
      <c r="J3" s="2">
        <v>2015</v>
      </c>
      <c r="K3" s="2">
        <v>2016</v>
      </c>
      <c r="L3" s="2">
        <v>2017</v>
      </c>
      <c r="M3" s="2">
        <v>2018</v>
      </c>
      <c r="N3" s="2">
        <v>2019</v>
      </c>
      <c r="O3" s="2" t="s">
        <v>87</v>
      </c>
      <c r="P3" s="2" t="s">
        <v>114</v>
      </c>
      <c r="Q3" s="2" t="s">
        <v>115</v>
      </c>
      <c r="R3" s="2" t="s">
        <v>295</v>
      </c>
      <c r="S3" s="2" t="s">
        <v>113</v>
      </c>
      <c r="T3" s="2" t="s">
        <v>116</v>
      </c>
      <c r="U3" s="2" t="s">
        <v>117</v>
      </c>
      <c r="V3" s="2" t="s">
        <v>118</v>
      </c>
      <c r="W3" s="2" t="s">
        <v>129</v>
      </c>
      <c r="X3" s="2" t="s">
        <v>125</v>
      </c>
      <c r="Y3" s="2" t="s">
        <v>127</v>
      </c>
      <c r="Z3" s="2" t="s">
        <v>128</v>
      </c>
      <c r="AA3" s="2" t="s">
        <v>130</v>
      </c>
      <c r="AB3" s="2" t="s">
        <v>131</v>
      </c>
    </row>
    <row r="4" spans="1:28" x14ac:dyDescent="0.25">
      <c r="A4" s="17" t="s">
        <v>13</v>
      </c>
      <c r="B4" s="15" t="s">
        <v>14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  <c r="I4" s="15">
        <v>7</v>
      </c>
      <c r="J4" s="15">
        <v>8</v>
      </c>
      <c r="K4" s="15">
        <v>9</v>
      </c>
      <c r="L4" s="15">
        <v>10</v>
      </c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15">
        <v>23</v>
      </c>
      <c r="Z4" s="15">
        <v>24</v>
      </c>
      <c r="AA4" s="15">
        <v>25</v>
      </c>
      <c r="AB4" s="15">
        <v>26</v>
      </c>
    </row>
    <row r="5" spans="1:28" ht="30" x14ac:dyDescent="0.25">
      <c r="A5" s="3" t="s">
        <v>3</v>
      </c>
      <c r="B5" s="16">
        <v>1</v>
      </c>
      <c r="C5" s="5">
        <v>488.6</v>
      </c>
      <c r="D5" s="5">
        <v>494.3</v>
      </c>
      <c r="E5" s="5">
        <v>505.2</v>
      </c>
      <c r="F5" s="5">
        <v>511.4</v>
      </c>
      <c r="G5" s="5">
        <v>518.1</v>
      </c>
      <c r="H5" s="5">
        <v>523.4</v>
      </c>
      <c r="I5" s="5">
        <v>526.79999999999995</v>
      </c>
      <c r="J5" s="5">
        <v>534.29999999999995</v>
      </c>
      <c r="K5" s="5">
        <v>547.6</v>
      </c>
      <c r="L5" s="5">
        <v>546.79999999999995</v>
      </c>
      <c r="M5" s="5">
        <v>556</v>
      </c>
      <c r="N5" s="5">
        <v>561.20000000000005</v>
      </c>
      <c r="O5" s="42">
        <f>AVERAGE(C5:N5)</f>
        <v>526.14166666666677</v>
      </c>
      <c r="P5" s="42">
        <f xml:space="preserve"> QUARTILE(C5:N5,0)</f>
        <v>488.6</v>
      </c>
      <c r="Q5" s="42">
        <f>QUARTILE(C5:N5, 4)</f>
        <v>561.20000000000005</v>
      </c>
      <c r="R5" s="42">
        <f>Q5-P5</f>
        <v>72.600000000000023</v>
      </c>
      <c r="S5" s="42">
        <f>QUARTILE(C5:N5,2)</f>
        <v>525.09999999999991</v>
      </c>
      <c r="T5" s="42">
        <f>QUARTILE(C5:N5,1)</f>
        <v>509.84999999999997</v>
      </c>
      <c r="U5" s="42">
        <f>QUARTILE(C5:N5,3)</f>
        <v>547</v>
      </c>
      <c r="V5" s="42" t="s">
        <v>198</v>
      </c>
      <c r="W5" s="42">
        <f>SUM(E15:E26)/COUNTA(C5:N5)</f>
        <v>19.308333333333326</v>
      </c>
      <c r="X5" s="42">
        <f>SUM(F15:F26)/COUNTA(C5:N5)</f>
        <v>518.84576388888888</v>
      </c>
      <c r="Y5" s="42">
        <f>SQRT(X5)</f>
        <v>22.778186141325847</v>
      </c>
      <c r="Z5" s="42">
        <f>R5/O5*100</f>
        <v>13.798565025262526</v>
      </c>
      <c r="AA5" s="42">
        <f>W5/O5*100</f>
        <v>3.6697974246479861</v>
      </c>
      <c r="AB5" s="42">
        <f>Y5/O5*100</f>
        <v>4.3292876395126489</v>
      </c>
    </row>
    <row r="6" spans="1:28" ht="30" x14ac:dyDescent="0.25">
      <c r="A6" s="13" t="s">
        <v>0</v>
      </c>
      <c r="B6" s="16">
        <v>2</v>
      </c>
      <c r="C6" s="5">
        <v>436.4</v>
      </c>
      <c r="D6" s="5">
        <v>439.4</v>
      </c>
      <c r="E6" s="5">
        <v>450.7</v>
      </c>
      <c r="F6" s="5">
        <v>453.9</v>
      </c>
      <c r="G6" s="5">
        <v>460.4</v>
      </c>
      <c r="H6" s="5">
        <v>464.4</v>
      </c>
      <c r="I6" s="5">
        <v>464.5</v>
      </c>
      <c r="J6" s="5">
        <v>464.8</v>
      </c>
      <c r="K6" s="5">
        <v>472.3</v>
      </c>
      <c r="L6" s="5">
        <v>468.6</v>
      </c>
      <c r="M6" s="5">
        <v>473.7</v>
      </c>
      <c r="N6" s="5">
        <v>475.5</v>
      </c>
      <c r="O6" s="42">
        <f>AVERAGE(C6:N6)</f>
        <v>460.38333333333338</v>
      </c>
      <c r="P6" s="42">
        <f xml:space="preserve"> QUARTILE(C6:N6,0)</f>
        <v>436.4</v>
      </c>
      <c r="Q6" s="42">
        <f>QUARTILE(C6:N6, 4)</f>
        <v>475.5</v>
      </c>
      <c r="R6" s="42">
        <f>Q6-P6</f>
        <v>39.100000000000023</v>
      </c>
      <c r="S6" s="42">
        <f>QUARTILE(C6:N6,2)</f>
        <v>464.45</v>
      </c>
      <c r="T6" s="42">
        <f>QUARTILE(C6:N6,1)</f>
        <v>453.09999999999997</v>
      </c>
      <c r="U6" s="42">
        <f>QUARTILE(C6:N6,3)</f>
        <v>469.52500000000003</v>
      </c>
      <c r="V6" s="42" t="s">
        <v>199</v>
      </c>
      <c r="W6" s="42">
        <f>SUM(E35:E46)/COUNTA(C6:N6)</f>
        <v>10.188888888888878</v>
      </c>
      <c r="X6" s="42">
        <f>SUM(F35:F46)/COUNTA(C6:N6)</f>
        <v>151.60472222222245</v>
      </c>
      <c r="Y6" s="42">
        <f t="shared" ref="Y6:Y8" si="0">SQRT(X6)</f>
        <v>12.312786939690886</v>
      </c>
      <c r="Z6" s="42">
        <f>R6/O6*100</f>
        <v>8.4929225645295627</v>
      </c>
      <c r="AA6" s="42">
        <f>W6/O6*100</f>
        <v>2.2131315691030395</v>
      </c>
      <c r="AB6" s="42">
        <f>Y6/O6*100</f>
        <v>2.6744640928988637</v>
      </c>
    </row>
    <row r="7" spans="1:28" ht="30" x14ac:dyDescent="0.25">
      <c r="A7" s="14" t="s">
        <v>4</v>
      </c>
      <c r="B7" s="16">
        <v>3</v>
      </c>
      <c r="C7" s="5">
        <v>40.200000000000003</v>
      </c>
      <c r="D7" s="5">
        <v>40.1</v>
      </c>
      <c r="E7" s="5">
        <v>40.1</v>
      </c>
      <c r="F7" s="5">
        <v>42.4</v>
      </c>
      <c r="G7" s="5">
        <v>43.5</v>
      </c>
      <c r="H7" s="5">
        <v>45.1</v>
      </c>
      <c r="I7" s="5">
        <v>47.9</v>
      </c>
      <c r="J7" s="5">
        <v>54.6</v>
      </c>
      <c r="K7" s="5">
        <v>59.3</v>
      </c>
      <c r="L7" s="5">
        <v>61.7</v>
      </c>
      <c r="M7" s="5">
        <v>63.5</v>
      </c>
      <c r="N7" s="5">
        <v>66.2</v>
      </c>
      <c r="O7" s="42">
        <f>AVERAGE(C7:N7)</f>
        <v>50.383333333333347</v>
      </c>
      <c r="P7" s="42">
        <f xml:space="preserve"> QUARTILE(C7:N7,0)</f>
        <v>40.1</v>
      </c>
      <c r="Q7" s="42">
        <f>QUARTILE(C7:N7, 4)</f>
        <v>66.2</v>
      </c>
      <c r="R7" s="42">
        <f>Q7-P7</f>
        <v>26.1</v>
      </c>
      <c r="S7" s="42">
        <f>QUARTILE(C7:N7,2)</f>
        <v>46.5</v>
      </c>
      <c r="T7" s="42">
        <f>QUARTILE(C7:N7,1)</f>
        <v>41.85</v>
      </c>
      <c r="U7" s="42">
        <f>QUARTILE(C7:N7,3)</f>
        <v>59.9</v>
      </c>
      <c r="V7" s="42" t="s">
        <v>200</v>
      </c>
      <c r="W7" s="42">
        <f>SUM(E55:E66)/COUNTA(C7:N7)</f>
        <v>8.8972222222222257</v>
      </c>
      <c r="X7" s="42">
        <f>SUM(F55:F66)/COUNTA(C7:N7)</f>
        <v>92.32972222222223</v>
      </c>
      <c r="Y7" s="42">
        <f t="shared" si="0"/>
        <v>9.608835633011017</v>
      </c>
      <c r="Z7" s="42">
        <f>R7/O7*100</f>
        <v>51.802844856103206</v>
      </c>
      <c r="AA7" s="42">
        <f>W7/O7*100</f>
        <v>17.659058330576691</v>
      </c>
      <c r="AB7" s="42">
        <f>Y7/O7*100</f>
        <v>19.071456764163443</v>
      </c>
    </row>
    <row r="8" spans="1:28" ht="30" x14ac:dyDescent="0.25">
      <c r="A8" s="13" t="s">
        <v>1</v>
      </c>
      <c r="B8" s="16">
        <v>4</v>
      </c>
      <c r="C8" s="5">
        <v>12</v>
      </c>
      <c r="D8" s="5">
        <v>14.8</v>
      </c>
      <c r="E8" s="5">
        <v>14.4</v>
      </c>
      <c r="F8" s="5">
        <v>15.1</v>
      </c>
      <c r="G8" s="5">
        <v>14.1</v>
      </c>
      <c r="H8" s="5">
        <v>14</v>
      </c>
      <c r="I8" s="5">
        <v>14.4</v>
      </c>
      <c r="J8" s="5">
        <v>15</v>
      </c>
      <c r="K8" s="5">
        <v>16</v>
      </c>
      <c r="L8" s="5">
        <v>16.5</v>
      </c>
      <c r="M8" s="5">
        <v>18.7</v>
      </c>
      <c r="N8" s="5">
        <v>19.399999999999999</v>
      </c>
      <c r="O8" s="42">
        <f>AVERAGE(C8:N8)</f>
        <v>15.366666666666667</v>
      </c>
      <c r="P8" s="42">
        <f xml:space="preserve"> QUARTILE(C8:N8,0)</f>
        <v>12</v>
      </c>
      <c r="Q8" s="42">
        <f>QUARTILE(C8:N8, 4)</f>
        <v>19.399999999999999</v>
      </c>
      <c r="R8" s="42">
        <f>Q8-P8</f>
        <v>7.3999999999999986</v>
      </c>
      <c r="S8" s="42">
        <f>QUARTILE(C8:N8,2)</f>
        <v>14.9</v>
      </c>
      <c r="T8" s="42">
        <f>QUARTILE(C8:N8,1)</f>
        <v>14.324999999999999</v>
      </c>
      <c r="U8" s="42">
        <f>QUARTILE(C8:N8,3)</f>
        <v>16.125</v>
      </c>
      <c r="V8" s="42" t="s">
        <v>201</v>
      </c>
      <c r="W8" s="42">
        <f>SUM(E75:E86)/COUNTA(C8:N8)</f>
        <v>1.5222222222222221</v>
      </c>
      <c r="X8" s="42">
        <f>SUM(F75:F86)/COUNTA(C8:N8)</f>
        <v>3.8555555555555543</v>
      </c>
      <c r="Y8" s="42">
        <f t="shared" si="0"/>
        <v>1.9635568633364184</v>
      </c>
      <c r="Z8" s="42">
        <f>R8/O8*100</f>
        <v>48.156182212581335</v>
      </c>
      <c r="AA8" s="42">
        <f>W8/O8*100</f>
        <v>9.9060014461315973</v>
      </c>
      <c r="AB8" s="42">
        <f>Y8/O8*100</f>
        <v>12.778027310215304</v>
      </c>
    </row>
    <row r="10" spans="1:28" x14ac:dyDescent="0.25">
      <c r="A10" s="6" t="s">
        <v>8</v>
      </c>
    </row>
    <row r="12" spans="1:28" x14ac:dyDescent="0.25">
      <c r="A12" s="9" t="s">
        <v>175</v>
      </c>
    </row>
    <row r="13" spans="1:28" ht="45" x14ac:dyDescent="0.25">
      <c r="A13" s="83" t="s">
        <v>12</v>
      </c>
      <c r="B13" s="84"/>
      <c r="C13" s="2" t="s">
        <v>121</v>
      </c>
      <c r="D13" s="2" t="s">
        <v>119</v>
      </c>
      <c r="E13" s="2" t="s">
        <v>120</v>
      </c>
      <c r="F13" s="2" t="s">
        <v>124</v>
      </c>
      <c r="G13" s="2" t="s">
        <v>168</v>
      </c>
      <c r="H13" s="2" t="s">
        <v>169</v>
      </c>
      <c r="I13" s="2" t="s">
        <v>170</v>
      </c>
      <c r="J13" s="2" t="s">
        <v>171</v>
      </c>
    </row>
    <row r="14" spans="1:28" x14ac:dyDescent="0.25">
      <c r="A14" s="16" t="s">
        <v>13</v>
      </c>
      <c r="B14" s="15" t="s">
        <v>14</v>
      </c>
      <c r="C14" s="16" t="s">
        <v>143</v>
      </c>
      <c r="D14" s="16">
        <v>1</v>
      </c>
      <c r="E14" s="16">
        <v>2</v>
      </c>
      <c r="F14" s="16">
        <v>3</v>
      </c>
      <c r="G14" s="16">
        <v>4</v>
      </c>
      <c r="H14" s="16">
        <v>5</v>
      </c>
      <c r="I14" s="16">
        <v>6</v>
      </c>
      <c r="J14" s="16">
        <v>7</v>
      </c>
    </row>
    <row r="15" spans="1:28" x14ac:dyDescent="0.25">
      <c r="A15" s="54">
        <f t="array" ref="A15:A26">TRANSPOSE(C3:N3)</f>
        <v>2008</v>
      </c>
      <c r="B15" s="16">
        <v>1</v>
      </c>
      <c r="C15" s="54">
        <f t="array" ref="C15:C26">TRANSPOSE(C5:N5)</f>
        <v>488.6</v>
      </c>
      <c r="D15" s="44">
        <f t="shared" ref="D15:D26" si="1">C15-$C$27</f>
        <v>-37.541666666666742</v>
      </c>
      <c r="E15" s="44">
        <f>ABS(D15)</f>
        <v>37.541666666666742</v>
      </c>
      <c r="F15" s="44">
        <f>POWER(D15, 2)</f>
        <v>1409.3767361111168</v>
      </c>
      <c r="G15" s="44" t="s">
        <v>79</v>
      </c>
      <c r="H15" s="44" t="s">
        <v>79</v>
      </c>
      <c r="I15" s="44" t="s">
        <v>79</v>
      </c>
      <c r="J15" s="44" t="s">
        <v>79</v>
      </c>
    </row>
    <row r="16" spans="1:28" x14ac:dyDescent="0.25">
      <c r="A16" s="54">
        <v>2009</v>
      </c>
      <c r="B16" s="16">
        <v>2</v>
      </c>
      <c r="C16" s="54">
        <v>494.3</v>
      </c>
      <c r="D16" s="44">
        <f t="shared" si="1"/>
        <v>-31.841666666666754</v>
      </c>
      <c r="E16" s="44">
        <f t="shared" ref="E16:E26" si="2">ABS(D16)</f>
        <v>31.841666666666754</v>
      </c>
      <c r="F16" s="44">
        <f t="shared" ref="F16:F26" si="3">POWER(D16, 2)</f>
        <v>1013.8917361111166</v>
      </c>
      <c r="G16" s="44">
        <f>(C16/C15)*100</f>
        <v>101.1665984445354</v>
      </c>
      <c r="H16" s="44">
        <f>G16-$G$27</f>
        <v>-0.10075793190279114</v>
      </c>
      <c r="I16" s="44">
        <f>ABS(H16)</f>
        <v>0.10075793190279114</v>
      </c>
      <c r="J16" s="44">
        <f>POWER(I16, 2)</f>
        <v>1.0152160841327498E-2</v>
      </c>
    </row>
    <row r="17" spans="1:10" x14ac:dyDescent="0.25">
      <c r="A17" s="54">
        <v>2010</v>
      </c>
      <c r="B17" s="16">
        <v>3</v>
      </c>
      <c r="C17" s="54">
        <v>505.2</v>
      </c>
      <c r="D17" s="44">
        <f t="shared" si="1"/>
        <v>-20.941666666666777</v>
      </c>
      <c r="E17" s="44">
        <f t="shared" si="2"/>
        <v>20.941666666666777</v>
      </c>
      <c r="F17" s="44">
        <f t="shared" si="3"/>
        <v>438.55340277778237</v>
      </c>
      <c r="G17" s="44">
        <f t="shared" ref="G17:G26" si="4">(C17/C16)*100</f>
        <v>102.20513857980981</v>
      </c>
      <c r="H17" s="44">
        <f t="shared" ref="H17:H26" si="5">G17-$G$27</f>
        <v>0.93778220337162566</v>
      </c>
      <c r="I17" s="44">
        <f t="shared" ref="I17:I26" si="6">ABS(H17)</f>
        <v>0.93778220337162566</v>
      </c>
      <c r="J17" s="44">
        <f t="shared" ref="J17:J26" si="7">POWER(I17, 2)</f>
        <v>0.87943546096054104</v>
      </c>
    </row>
    <row r="18" spans="1:10" x14ac:dyDescent="0.25">
      <c r="A18" s="54">
        <v>2011</v>
      </c>
      <c r="B18" s="16">
        <v>4</v>
      </c>
      <c r="C18" s="54">
        <v>511.4</v>
      </c>
      <c r="D18" s="44">
        <f t="shared" si="1"/>
        <v>-14.741666666666788</v>
      </c>
      <c r="E18" s="44">
        <f t="shared" si="2"/>
        <v>14.741666666666788</v>
      </c>
      <c r="F18" s="44">
        <f t="shared" si="3"/>
        <v>217.31673611111469</v>
      </c>
      <c r="G18" s="44">
        <f t="shared" si="4"/>
        <v>101.22723673792558</v>
      </c>
      <c r="H18" s="44">
        <f t="shared" si="5"/>
        <v>-4.0119638512607025E-2</v>
      </c>
      <c r="I18" s="44">
        <f t="shared" si="6"/>
        <v>4.0119638512607025E-2</v>
      </c>
      <c r="J18" s="44">
        <f t="shared" si="7"/>
        <v>1.6095853943822608E-3</v>
      </c>
    </row>
    <row r="19" spans="1:10" x14ac:dyDescent="0.25">
      <c r="A19" s="54">
        <v>2012</v>
      </c>
      <c r="B19" s="16">
        <v>5</v>
      </c>
      <c r="C19" s="54">
        <v>518.1</v>
      </c>
      <c r="D19" s="44">
        <f t="shared" si="1"/>
        <v>-8.0416666666667425</v>
      </c>
      <c r="E19" s="44">
        <f t="shared" si="2"/>
        <v>8.0416666666667425</v>
      </c>
      <c r="F19" s="44">
        <f t="shared" si="3"/>
        <v>64.668402777778994</v>
      </c>
      <c r="G19" s="44">
        <f t="shared" si="4"/>
        <v>101.31012905748926</v>
      </c>
      <c r="H19" s="44">
        <f t="shared" si="5"/>
        <v>4.2772681051076233E-2</v>
      </c>
      <c r="I19" s="44">
        <f t="shared" si="6"/>
        <v>4.2772681051076233E-2</v>
      </c>
      <c r="J19" s="44">
        <f t="shared" si="7"/>
        <v>1.8295022442970958E-3</v>
      </c>
    </row>
    <row r="20" spans="1:10" x14ac:dyDescent="0.25">
      <c r="A20" s="54">
        <v>2013</v>
      </c>
      <c r="B20" s="16">
        <v>6</v>
      </c>
      <c r="C20" s="54">
        <v>523.4</v>
      </c>
      <c r="D20" s="44">
        <f t="shared" si="1"/>
        <v>-2.7416666666667879</v>
      </c>
      <c r="E20" s="44">
        <f t="shared" si="2"/>
        <v>2.7416666666667879</v>
      </c>
      <c r="F20" s="44">
        <f t="shared" si="3"/>
        <v>7.5167361111117756</v>
      </c>
      <c r="G20" s="44">
        <f t="shared" si="4"/>
        <v>101.0229685388921</v>
      </c>
      <c r="H20" s="44">
        <f t="shared" si="5"/>
        <v>-0.24438783754608551</v>
      </c>
      <c r="I20" s="44">
        <f t="shared" si="6"/>
        <v>0.24438783754608551</v>
      </c>
      <c r="J20" s="44">
        <f t="shared" si="7"/>
        <v>5.9725415140451883E-2</v>
      </c>
    </row>
    <row r="21" spans="1:10" x14ac:dyDescent="0.25">
      <c r="A21" s="54">
        <v>2014</v>
      </c>
      <c r="B21" s="16">
        <v>7</v>
      </c>
      <c r="C21" s="54">
        <v>526.79999999999995</v>
      </c>
      <c r="D21" s="44">
        <f t="shared" si="1"/>
        <v>0.65833333333318933</v>
      </c>
      <c r="E21" s="44">
        <f t="shared" si="2"/>
        <v>0.65833333333318933</v>
      </c>
      <c r="F21" s="44">
        <f t="shared" si="3"/>
        <v>0.43340277777758818</v>
      </c>
      <c r="G21" s="44">
        <f t="shared" si="4"/>
        <v>100.64959877722583</v>
      </c>
      <c r="H21" s="44">
        <f t="shared" si="5"/>
        <v>-0.61775759921235363</v>
      </c>
      <c r="I21" s="44">
        <f t="shared" si="6"/>
        <v>0.61775759921235363</v>
      </c>
      <c r="J21" s="44">
        <f t="shared" si="7"/>
        <v>0.38162445138461093</v>
      </c>
    </row>
    <row r="22" spans="1:10" x14ac:dyDescent="0.25">
      <c r="A22" s="54">
        <v>2015</v>
      </c>
      <c r="B22" s="16">
        <v>8</v>
      </c>
      <c r="C22" s="54">
        <v>534.29999999999995</v>
      </c>
      <c r="D22" s="44">
        <f t="shared" si="1"/>
        <v>8.1583333333331893</v>
      </c>
      <c r="E22" s="44">
        <f t="shared" si="2"/>
        <v>8.1583333333331893</v>
      </c>
      <c r="F22" s="44">
        <f t="shared" si="3"/>
        <v>66.558402777775427</v>
      </c>
      <c r="G22" s="44">
        <f t="shared" si="4"/>
        <v>101.42369020501138</v>
      </c>
      <c r="H22" s="44">
        <f t="shared" si="5"/>
        <v>0.15633382857319589</v>
      </c>
      <c r="I22" s="44">
        <f t="shared" si="6"/>
        <v>0.15633382857319589</v>
      </c>
      <c r="J22" s="44">
        <f t="shared" si="7"/>
        <v>2.4440265956353398E-2</v>
      </c>
    </row>
    <row r="23" spans="1:10" x14ac:dyDescent="0.25">
      <c r="A23" s="54">
        <v>2016</v>
      </c>
      <c r="B23" s="16">
        <v>9</v>
      </c>
      <c r="C23" s="54">
        <v>547.6</v>
      </c>
      <c r="D23" s="44">
        <f t="shared" si="1"/>
        <v>21.458333333333258</v>
      </c>
      <c r="E23" s="44">
        <f t="shared" si="2"/>
        <v>21.458333333333258</v>
      </c>
      <c r="F23" s="44">
        <f t="shared" si="3"/>
        <v>460.46006944444122</v>
      </c>
      <c r="G23" s="44">
        <f t="shared" si="4"/>
        <v>102.48923825566163</v>
      </c>
      <c r="H23" s="44">
        <f t="shared" si="5"/>
        <v>1.2218818792234458</v>
      </c>
      <c r="I23" s="44">
        <f t="shared" si="6"/>
        <v>1.2218818792234458</v>
      </c>
      <c r="J23" s="44">
        <f t="shared" si="7"/>
        <v>1.4929953267746194</v>
      </c>
    </row>
    <row r="24" spans="1:10" x14ac:dyDescent="0.25">
      <c r="A24" s="54">
        <v>2017</v>
      </c>
      <c r="B24" s="16">
        <v>10</v>
      </c>
      <c r="C24" s="54">
        <v>546.79999999999995</v>
      </c>
      <c r="D24" s="44">
        <f t="shared" si="1"/>
        <v>20.658333333333189</v>
      </c>
      <c r="E24" s="44">
        <f t="shared" si="2"/>
        <v>20.658333333333189</v>
      </c>
      <c r="F24" s="44">
        <f t="shared" si="3"/>
        <v>426.76673611110516</v>
      </c>
      <c r="G24" s="44">
        <f t="shared" si="4"/>
        <v>99.853907962016052</v>
      </c>
      <c r="H24" s="44">
        <f t="shared" si="5"/>
        <v>-1.4134484144221346</v>
      </c>
      <c r="I24" s="44">
        <f t="shared" si="6"/>
        <v>1.4134484144221346</v>
      </c>
      <c r="J24" s="44">
        <f t="shared" si="7"/>
        <v>1.9978364202324466</v>
      </c>
    </row>
    <row r="25" spans="1:10" x14ac:dyDescent="0.25">
      <c r="A25" s="54">
        <v>2018</v>
      </c>
      <c r="B25" s="16">
        <v>11</v>
      </c>
      <c r="C25" s="54">
        <v>556</v>
      </c>
      <c r="D25" s="44">
        <f t="shared" si="1"/>
        <v>29.858333333333235</v>
      </c>
      <c r="E25" s="44">
        <f t="shared" si="2"/>
        <v>29.858333333333235</v>
      </c>
      <c r="F25" s="44">
        <f t="shared" si="3"/>
        <v>891.5200694444386</v>
      </c>
      <c r="G25" s="44">
        <f t="shared" si="4"/>
        <v>101.68251645940016</v>
      </c>
      <c r="H25" s="44">
        <f t="shared" si="5"/>
        <v>0.41516008296197526</v>
      </c>
      <c r="I25" s="44">
        <f t="shared" si="6"/>
        <v>0.41516008296197526</v>
      </c>
      <c r="J25" s="44">
        <f t="shared" si="7"/>
        <v>0.1723578944849942</v>
      </c>
    </row>
    <row r="26" spans="1:10" x14ac:dyDescent="0.25">
      <c r="A26" s="54">
        <v>2019</v>
      </c>
      <c r="B26" s="16">
        <v>12</v>
      </c>
      <c r="C26" s="54">
        <v>561.20000000000005</v>
      </c>
      <c r="D26" s="44">
        <f t="shared" si="1"/>
        <v>35.05833333333328</v>
      </c>
      <c r="E26" s="44">
        <f t="shared" si="2"/>
        <v>35.05833333333328</v>
      </c>
      <c r="F26" s="44">
        <f t="shared" si="3"/>
        <v>1229.0867361111075</v>
      </c>
      <c r="G26" s="44">
        <f t="shared" si="4"/>
        <v>100.93525179856115</v>
      </c>
      <c r="H26" s="44">
        <f t="shared" si="5"/>
        <v>-0.33210457787703263</v>
      </c>
      <c r="I26" s="44">
        <f t="shared" si="6"/>
        <v>0.33210457787703263</v>
      </c>
      <c r="J26" s="44">
        <f t="shared" si="7"/>
        <v>0.11029345064688202</v>
      </c>
    </row>
    <row r="27" spans="1:10" x14ac:dyDescent="0.25">
      <c r="A27" s="54" t="s">
        <v>126</v>
      </c>
      <c r="B27" s="16">
        <v>13</v>
      </c>
      <c r="C27" s="44">
        <f>AVERAGE(C15:C26)</f>
        <v>526.14166666666677</v>
      </c>
      <c r="D27" s="44" t="s">
        <v>79</v>
      </c>
      <c r="E27" s="44" t="s">
        <v>79</v>
      </c>
      <c r="F27" s="44" t="s">
        <v>79</v>
      </c>
      <c r="G27" s="44">
        <f>POWER(PRODUCT(G16:G26), 1/COUNTA(G16:G26))</f>
        <v>101.26735637643819</v>
      </c>
      <c r="H27" s="44" t="s">
        <v>79</v>
      </c>
      <c r="I27" s="44" t="s">
        <v>79</v>
      </c>
      <c r="J27" s="44" t="s">
        <v>79</v>
      </c>
    </row>
    <row r="28" spans="1:10" x14ac:dyDescent="0.25">
      <c r="A28" s="60"/>
      <c r="B28" s="57"/>
      <c r="C28" s="61"/>
      <c r="D28" s="61"/>
      <c r="E28" s="61"/>
      <c r="F28" s="61"/>
      <c r="G28" s="61"/>
      <c r="H28" s="61"/>
      <c r="I28" s="61"/>
      <c r="J28" s="61"/>
    </row>
    <row r="29" spans="1:10" x14ac:dyDescent="0.25">
      <c r="A29" s="6" t="s">
        <v>26</v>
      </c>
      <c r="B29" s="57"/>
      <c r="C29" s="61"/>
      <c r="D29" s="61"/>
      <c r="E29" s="61"/>
      <c r="F29" s="61"/>
      <c r="G29" s="61"/>
      <c r="H29" s="61"/>
      <c r="I29" s="61"/>
      <c r="J29" s="61"/>
    </row>
    <row r="30" spans="1:10" x14ac:dyDescent="0.25">
      <c r="A30" s="60"/>
      <c r="B30" s="57"/>
      <c r="C30" s="61"/>
      <c r="D30" s="61"/>
      <c r="E30" s="61"/>
      <c r="F30" s="61"/>
      <c r="G30" s="61"/>
      <c r="H30" s="61"/>
      <c r="I30" s="61"/>
      <c r="J30" s="61"/>
    </row>
    <row r="31" spans="1:10" x14ac:dyDescent="0.25">
      <c r="B31" s="43"/>
      <c r="C31" s="43"/>
      <c r="D31" s="43"/>
    </row>
    <row r="32" spans="1:10" x14ac:dyDescent="0.25">
      <c r="A32" s="9" t="s">
        <v>176</v>
      </c>
    </row>
    <row r="33" spans="1:14" ht="45" x14ac:dyDescent="0.25">
      <c r="A33" s="83" t="s">
        <v>12</v>
      </c>
      <c r="B33" s="84"/>
      <c r="C33" s="2" t="s">
        <v>121</v>
      </c>
      <c r="D33" s="2" t="s">
        <v>119</v>
      </c>
      <c r="E33" s="2" t="s">
        <v>120</v>
      </c>
      <c r="F33" s="2" t="s">
        <v>124</v>
      </c>
      <c r="G33" s="2" t="s">
        <v>168</v>
      </c>
      <c r="H33" s="2" t="s">
        <v>177</v>
      </c>
      <c r="I33" s="2" t="s">
        <v>178</v>
      </c>
      <c r="J33" s="2" t="s">
        <v>179</v>
      </c>
      <c r="K33" s="2" t="s">
        <v>174</v>
      </c>
      <c r="L33" s="2" t="s">
        <v>180</v>
      </c>
      <c r="M33" s="2" t="s">
        <v>181</v>
      </c>
      <c r="N33" s="2" t="s">
        <v>182</v>
      </c>
    </row>
    <row r="34" spans="1:14" x14ac:dyDescent="0.25">
      <c r="A34" s="16" t="s">
        <v>13</v>
      </c>
      <c r="B34" s="15" t="s">
        <v>14</v>
      </c>
      <c r="C34" s="16" t="s">
        <v>143</v>
      </c>
      <c r="D34" s="16">
        <v>1</v>
      </c>
      <c r="E34" s="16">
        <v>2</v>
      </c>
      <c r="F34" s="16">
        <v>3</v>
      </c>
      <c r="G34" s="16">
        <v>4</v>
      </c>
      <c r="H34" s="16">
        <v>5</v>
      </c>
      <c r="I34" s="16">
        <v>6</v>
      </c>
      <c r="J34" s="16">
        <v>7</v>
      </c>
      <c r="K34" s="16">
        <v>8</v>
      </c>
      <c r="L34" s="16">
        <v>1</v>
      </c>
      <c r="M34" s="16">
        <v>2</v>
      </c>
      <c r="N34" s="16">
        <v>3</v>
      </c>
    </row>
    <row r="35" spans="1:14" x14ac:dyDescent="0.25">
      <c r="A35" s="54">
        <f t="array" ref="A35:A46">TRANSPOSE(C3:N3)</f>
        <v>2008</v>
      </c>
      <c r="B35" s="16">
        <v>1</v>
      </c>
      <c r="C35" s="54">
        <f t="array" ref="C35:C46">TRANSPOSE(C6:N6)</f>
        <v>436.4</v>
      </c>
      <c r="D35" s="44">
        <f t="shared" ref="D35:D46" si="8">C35-$C$47</f>
        <v>-23.983333333333405</v>
      </c>
      <c r="E35" s="44">
        <f>ABS(D35)</f>
        <v>23.983333333333405</v>
      </c>
      <c r="F35" s="44">
        <f>POWER(D35, 2)</f>
        <v>575.20027777778125</v>
      </c>
      <c r="G35" s="44" t="s">
        <v>79</v>
      </c>
      <c r="H35" s="44" t="s">
        <v>79</v>
      </c>
      <c r="I35" s="44" t="s">
        <v>79</v>
      </c>
      <c r="J35" s="44" t="s">
        <v>79</v>
      </c>
      <c r="K35" s="44">
        <f t="shared" ref="K35:K46" si="9">C35/C15*100</f>
        <v>89.316414244781001</v>
      </c>
      <c r="L35" s="44">
        <f>K35-$K$47</f>
        <v>1.7489185291089484</v>
      </c>
      <c r="M35" s="44">
        <f>ABS(L35)</f>
        <v>1.7489185291089484</v>
      </c>
      <c r="N35" s="44">
        <f>POWER(L35, 2)</f>
        <v>3.0587160214606075</v>
      </c>
    </row>
    <row r="36" spans="1:14" x14ac:dyDescent="0.25">
      <c r="A36" s="54">
        <v>2009</v>
      </c>
      <c r="B36" s="16">
        <v>2</v>
      </c>
      <c r="C36" s="54">
        <v>439.4</v>
      </c>
      <c r="D36" s="44">
        <f t="shared" si="8"/>
        <v>-20.983333333333405</v>
      </c>
      <c r="E36" s="44">
        <f t="shared" ref="E36:E46" si="10">ABS(D36)</f>
        <v>20.983333333333405</v>
      </c>
      <c r="F36" s="44">
        <f t="shared" ref="F36:F46" si="11">POWER(D36, 2)</f>
        <v>440.30027777778082</v>
      </c>
      <c r="G36" s="44">
        <f>(C36/C35)*100</f>
        <v>100.68744271310723</v>
      </c>
      <c r="H36" s="44">
        <f>G36-$G$47</f>
        <v>-9.5677100271217341E-2</v>
      </c>
      <c r="I36" s="44">
        <f>ABS(H36)</f>
        <v>9.5677100271217341E-2</v>
      </c>
      <c r="J36" s="44">
        <f>POWER(I36, 2)</f>
        <v>9.1541075163085774E-3</v>
      </c>
      <c r="K36" s="44">
        <f t="shared" si="9"/>
        <v>88.893384584260559</v>
      </c>
      <c r="L36" s="44">
        <f t="shared" ref="L36:L46" si="12">K36-$K$47</f>
        <v>1.3258888685885069</v>
      </c>
      <c r="M36" s="44">
        <f t="shared" ref="M36:M46" si="13">ABS(L36)</f>
        <v>1.3258888685885069</v>
      </c>
      <c r="N36" s="44">
        <f t="shared" ref="N36:N46" si="14">POWER(L36, 2)</f>
        <v>1.7579812918469109</v>
      </c>
    </row>
    <row r="37" spans="1:14" x14ac:dyDescent="0.25">
      <c r="A37" s="54">
        <v>2010</v>
      </c>
      <c r="B37" s="16">
        <v>3</v>
      </c>
      <c r="C37" s="54">
        <v>450.7</v>
      </c>
      <c r="D37" s="44">
        <f t="shared" si="8"/>
        <v>-9.683333333333394</v>
      </c>
      <c r="E37" s="44">
        <f t="shared" si="10"/>
        <v>9.683333333333394</v>
      </c>
      <c r="F37" s="44">
        <f t="shared" si="11"/>
        <v>93.766944444445613</v>
      </c>
      <c r="G37" s="44">
        <f t="shared" ref="G37:G46" si="15">(C37/C36)*100</f>
        <v>102.57168866636322</v>
      </c>
      <c r="H37" s="44">
        <f t="shared" ref="H37:H46" si="16">G37-$G$47</f>
        <v>1.788568852984767</v>
      </c>
      <c r="I37" s="44">
        <f t="shared" ref="I37" si="17">ABS(H37)</f>
        <v>1.788568852984767</v>
      </c>
      <c r="J37" s="44">
        <f t="shared" ref="J37:J46" si="18">POWER(I37, 2)</f>
        <v>3.1989785418672452</v>
      </c>
      <c r="K37" s="44">
        <f t="shared" si="9"/>
        <v>89.212193190815512</v>
      </c>
      <c r="L37" s="44">
        <f t="shared" si="12"/>
        <v>1.6446974751434595</v>
      </c>
      <c r="M37" s="44">
        <f t="shared" si="13"/>
        <v>1.6446974751434595</v>
      </c>
      <c r="N37" s="44">
        <f t="shared" si="14"/>
        <v>2.7050297847432709</v>
      </c>
    </row>
    <row r="38" spans="1:14" x14ac:dyDescent="0.25">
      <c r="A38" s="54">
        <v>2011</v>
      </c>
      <c r="B38" s="16">
        <v>4</v>
      </c>
      <c r="C38" s="54">
        <v>453.9</v>
      </c>
      <c r="D38" s="44">
        <f t="shared" si="8"/>
        <v>-6.4833333333334053</v>
      </c>
      <c r="E38" s="44">
        <f t="shared" si="10"/>
        <v>6.4833333333334053</v>
      </c>
      <c r="F38" s="44">
        <f t="shared" si="11"/>
        <v>42.033611111112045</v>
      </c>
      <c r="G38" s="44">
        <f t="shared" si="15"/>
        <v>100.7100066563124</v>
      </c>
      <c r="H38" s="44">
        <f t="shared" si="16"/>
        <v>-7.3113157066046597E-2</v>
      </c>
      <c r="I38" s="44">
        <f t="shared" ref="I38" si="19">ABS(H38)</f>
        <v>7.3113157066046597E-2</v>
      </c>
      <c r="J38" s="44">
        <f t="shared" si="18"/>
        <v>5.3455337361643998E-3</v>
      </c>
      <c r="K38" s="44">
        <f t="shared" si="9"/>
        <v>88.756355103637077</v>
      </c>
      <c r="L38" s="44">
        <f t="shared" si="12"/>
        <v>1.1888593879650244</v>
      </c>
      <c r="M38" s="44">
        <f t="shared" si="13"/>
        <v>1.1888593879650244</v>
      </c>
      <c r="N38" s="44">
        <f t="shared" si="14"/>
        <v>1.4133866443525724</v>
      </c>
    </row>
    <row r="39" spans="1:14" x14ac:dyDescent="0.25">
      <c r="A39" s="54">
        <v>2012</v>
      </c>
      <c r="B39" s="16">
        <v>5</v>
      </c>
      <c r="C39" s="54">
        <v>460.4</v>
      </c>
      <c r="D39" s="44">
        <f t="shared" si="8"/>
        <v>1.6666666666594665E-2</v>
      </c>
      <c r="E39" s="44">
        <f t="shared" si="10"/>
        <v>1.6666666666594665E-2</v>
      </c>
      <c r="F39" s="44">
        <f t="shared" si="11"/>
        <v>2.7777777777537773E-4</v>
      </c>
      <c r="G39" s="44">
        <f t="shared" si="15"/>
        <v>101.43203348755232</v>
      </c>
      <c r="H39" s="44">
        <f t="shared" si="16"/>
        <v>0.64891367417386903</v>
      </c>
      <c r="I39" s="44">
        <f t="shared" ref="I39" si="20">ABS(H39)</f>
        <v>0.64891367417386903</v>
      </c>
      <c r="J39" s="44">
        <f t="shared" si="18"/>
        <v>0.42108895652983025</v>
      </c>
      <c r="K39" s="44">
        <f t="shared" si="9"/>
        <v>88.86315383130669</v>
      </c>
      <c r="L39" s="44">
        <f t="shared" si="12"/>
        <v>1.2956581156346374</v>
      </c>
      <c r="M39" s="44">
        <f t="shared" si="13"/>
        <v>1.2956581156346374</v>
      </c>
      <c r="N39" s="44">
        <f t="shared" si="14"/>
        <v>1.6787299526098993</v>
      </c>
    </row>
    <row r="40" spans="1:14" x14ac:dyDescent="0.25">
      <c r="A40" s="54">
        <v>2013</v>
      </c>
      <c r="B40" s="16">
        <v>6</v>
      </c>
      <c r="C40" s="54">
        <v>464.4</v>
      </c>
      <c r="D40" s="44">
        <f t="shared" si="8"/>
        <v>4.0166666666665947</v>
      </c>
      <c r="E40" s="44">
        <f t="shared" si="10"/>
        <v>4.0166666666665947</v>
      </c>
      <c r="F40" s="44">
        <f t="shared" si="11"/>
        <v>16.133611111110532</v>
      </c>
      <c r="G40" s="44">
        <f t="shared" si="15"/>
        <v>100.86880973066899</v>
      </c>
      <c r="H40" s="44">
        <f t="shared" si="16"/>
        <v>8.568991729053721E-2</v>
      </c>
      <c r="I40" s="44">
        <f t="shared" ref="I40" si="21">ABS(H40)</f>
        <v>8.568991729053721E-2</v>
      </c>
      <c r="J40" s="44">
        <f t="shared" si="18"/>
        <v>7.3427619252591078E-3</v>
      </c>
      <c r="K40" s="44">
        <f t="shared" si="9"/>
        <v>88.727550630492942</v>
      </c>
      <c r="L40" s="44">
        <f t="shared" si="12"/>
        <v>1.1600549148208898</v>
      </c>
      <c r="M40" s="44">
        <f t="shared" si="13"/>
        <v>1.1600549148208898</v>
      </c>
      <c r="N40" s="44">
        <f t="shared" si="14"/>
        <v>1.3457274054001021</v>
      </c>
    </row>
    <row r="41" spans="1:14" x14ac:dyDescent="0.25">
      <c r="A41" s="54">
        <v>2014</v>
      </c>
      <c r="B41" s="16">
        <v>7</v>
      </c>
      <c r="C41" s="54">
        <v>464.5</v>
      </c>
      <c r="D41" s="44">
        <f t="shared" si="8"/>
        <v>4.1166666666666174</v>
      </c>
      <c r="E41" s="44">
        <f t="shared" si="10"/>
        <v>4.1166666666666174</v>
      </c>
      <c r="F41" s="44">
        <f t="shared" si="11"/>
        <v>16.946944444444039</v>
      </c>
      <c r="G41" s="44">
        <f t="shared" si="15"/>
        <v>100.02153316106805</v>
      </c>
      <c r="H41" s="44">
        <f t="shared" si="16"/>
        <v>-0.7615866523103989</v>
      </c>
      <c r="I41" s="44">
        <f t="shared" ref="I41" si="22">ABS(H41)</f>
        <v>0.7615866523103989</v>
      </c>
      <c r="J41" s="44">
        <f t="shared" si="18"/>
        <v>0.58001422897736044</v>
      </c>
      <c r="K41" s="44">
        <f t="shared" si="9"/>
        <v>88.173880030372061</v>
      </c>
      <c r="L41" s="44">
        <f t="shared" si="12"/>
        <v>0.60638431470000853</v>
      </c>
      <c r="M41" s="44">
        <f t="shared" si="13"/>
        <v>0.60638431470000853</v>
      </c>
      <c r="N41" s="44">
        <f t="shared" si="14"/>
        <v>0.36770193711419896</v>
      </c>
    </row>
    <row r="42" spans="1:14" x14ac:dyDescent="0.25">
      <c r="A42" s="54">
        <v>2015</v>
      </c>
      <c r="B42" s="16">
        <v>8</v>
      </c>
      <c r="C42" s="54">
        <v>464.8</v>
      </c>
      <c r="D42" s="44">
        <f t="shared" si="8"/>
        <v>4.4166666666666288</v>
      </c>
      <c r="E42" s="44">
        <f t="shared" si="10"/>
        <v>4.4166666666666288</v>
      </c>
      <c r="F42" s="44">
        <f t="shared" si="11"/>
        <v>19.506944444444109</v>
      </c>
      <c r="G42" s="44">
        <f t="shared" si="15"/>
        <v>100.06458557588805</v>
      </c>
      <c r="H42" s="44">
        <f t="shared" si="16"/>
        <v>-0.71853423749040246</v>
      </c>
      <c r="I42" s="44">
        <f t="shared" ref="I42" si="23">ABS(H42)</f>
        <v>0.71853423749040246</v>
      </c>
      <c r="J42" s="44">
        <f t="shared" si="18"/>
        <v>0.51629145044591407</v>
      </c>
      <c r="K42" s="44">
        <f t="shared" si="9"/>
        <v>86.992326408384812</v>
      </c>
      <c r="L42" s="44">
        <f t="shared" si="12"/>
        <v>-0.57516930728723992</v>
      </c>
      <c r="M42" s="44">
        <f t="shared" si="13"/>
        <v>0.57516930728723992</v>
      </c>
      <c r="N42" s="44">
        <f t="shared" si="14"/>
        <v>0.33081973204528342</v>
      </c>
    </row>
    <row r="43" spans="1:14" x14ac:dyDescent="0.25">
      <c r="A43" s="54">
        <v>2016</v>
      </c>
      <c r="B43" s="16">
        <v>9</v>
      </c>
      <c r="C43" s="54">
        <v>472.3</v>
      </c>
      <c r="D43" s="44">
        <f t="shared" si="8"/>
        <v>11.916666666666629</v>
      </c>
      <c r="E43" s="44">
        <f t="shared" si="10"/>
        <v>11.916666666666629</v>
      </c>
      <c r="F43" s="44">
        <f t="shared" si="11"/>
        <v>142.00694444444355</v>
      </c>
      <c r="G43" s="44">
        <f t="shared" si="15"/>
        <v>101.61359724612737</v>
      </c>
      <c r="H43" s="44">
        <f t="shared" si="16"/>
        <v>0.83047743274892127</v>
      </c>
      <c r="I43" s="44">
        <f t="shared" ref="I43" si="24">ABS(H43)</f>
        <v>0.83047743274892127</v>
      </c>
      <c r="J43" s="44">
        <f t="shared" si="18"/>
        <v>0.68969276630523901</v>
      </c>
      <c r="K43" s="44">
        <f t="shared" si="9"/>
        <v>86.249086924762594</v>
      </c>
      <c r="L43" s="44">
        <f t="shared" si="12"/>
        <v>-1.3184087909094586</v>
      </c>
      <c r="M43" s="44">
        <f t="shared" si="13"/>
        <v>1.3184087909094586</v>
      </c>
      <c r="N43" s="44">
        <f t="shared" si="14"/>
        <v>1.7382017399473406</v>
      </c>
    </row>
    <row r="44" spans="1:14" x14ac:dyDescent="0.25">
      <c r="A44" s="54">
        <v>2017</v>
      </c>
      <c r="B44" s="16">
        <v>10</v>
      </c>
      <c r="C44" s="54">
        <v>468.6</v>
      </c>
      <c r="D44" s="44">
        <f t="shared" si="8"/>
        <v>8.2166666666666401</v>
      </c>
      <c r="E44" s="44">
        <f t="shared" si="10"/>
        <v>8.2166666666666401</v>
      </c>
      <c r="F44" s="44">
        <f t="shared" si="11"/>
        <v>67.513611111110677</v>
      </c>
      <c r="G44" s="44">
        <f t="shared" si="15"/>
        <v>99.216599618886306</v>
      </c>
      <c r="H44" s="44">
        <f t="shared" si="16"/>
        <v>-1.5665201944921421</v>
      </c>
      <c r="I44" s="44">
        <f t="shared" ref="I44" si="25">ABS(H44)</f>
        <v>1.5665201944921421</v>
      </c>
      <c r="J44" s="44">
        <f t="shared" si="18"/>
        <v>2.4539855197516989</v>
      </c>
      <c r="K44" s="44">
        <f t="shared" si="9"/>
        <v>85.698610095098772</v>
      </c>
      <c r="L44" s="44">
        <f t="shared" si="12"/>
        <v>-1.8688856205732804</v>
      </c>
      <c r="M44" s="44">
        <f t="shared" si="13"/>
        <v>1.8688856205732804</v>
      </c>
      <c r="N44" s="44">
        <f t="shared" si="14"/>
        <v>3.4927334627855755</v>
      </c>
    </row>
    <row r="45" spans="1:14" x14ac:dyDescent="0.25">
      <c r="A45" s="54">
        <v>2018</v>
      </c>
      <c r="B45" s="16">
        <v>11</v>
      </c>
      <c r="C45" s="54">
        <v>473.7</v>
      </c>
      <c r="D45" s="44">
        <f t="shared" si="8"/>
        <v>13.316666666666606</v>
      </c>
      <c r="E45" s="44">
        <f t="shared" si="10"/>
        <v>13.316666666666606</v>
      </c>
      <c r="F45" s="44">
        <f t="shared" si="11"/>
        <v>177.33361111110949</v>
      </c>
      <c r="G45" s="44">
        <f t="shared" si="15"/>
        <v>101.08834827144686</v>
      </c>
      <c r="H45" s="44">
        <f t="shared" si="16"/>
        <v>0.30522845806841303</v>
      </c>
      <c r="I45" s="44">
        <f t="shared" ref="I45" si="26">ABS(H45)</f>
        <v>0.30522845806841303</v>
      </c>
      <c r="J45" s="44">
        <f t="shared" si="18"/>
        <v>9.3164411614820974E-2</v>
      </c>
      <c r="K45" s="44">
        <f t="shared" si="9"/>
        <v>85.197841726618705</v>
      </c>
      <c r="L45" s="44">
        <f t="shared" si="12"/>
        <v>-2.3696539890533472</v>
      </c>
      <c r="M45" s="44">
        <f t="shared" si="13"/>
        <v>2.3696539890533472</v>
      </c>
      <c r="N45" s="44">
        <f t="shared" si="14"/>
        <v>5.6152600278364408</v>
      </c>
    </row>
    <row r="46" spans="1:14" x14ac:dyDescent="0.25">
      <c r="A46" s="54">
        <v>2019</v>
      </c>
      <c r="B46" s="16">
        <v>12</v>
      </c>
      <c r="C46" s="54">
        <v>475.5</v>
      </c>
      <c r="D46" s="44">
        <f t="shared" si="8"/>
        <v>15.116666666666617</v>
      </c>
      <c r="E46" s="44">
        <f t="shared" si="10"/>
        <v>15.116666666666617</v>
      </c>
      <c r="F46" s="44">
        <f t="shared" si="11"/>
        <v>228.51361111110961</v>
      </c>
      <c r="G46" s="44">
        <f t="shared" si="15"/>
        <v>100.37998733375555</v>
      </c>
      <c r="H46" s="44">
        <f t="shared" si="16"/>
        <v>-0.40313247962289722</v>
      </c>
      <c r="I46" s="44">
        <f t="shared" ref="I46" si="27">ABS(H46)</f>
        <v>0.40313247962289722</v>
      </c>
      <c r="J46" s="44">
        <f t="shared" si="18"/>
        <v>0.16251579612690564</v>
      </c>
      <c r="K46" s="44">
        <f t="shared" si="9"/>
        <v>84.729151817533861</v>
      </c>
      <c r="L46" s="44">
        <f t="shared" si="12"/>
        <v>-2.8383438981381914</v>
      </c>
      <c r="M46" s="44">
        <f t="shared" si="13"/>
        <v>2.8383438981381914</v>
      </c>
      <c r="N46" s="44">
        <f t="shared" si="14"/>
        <v>8.0561960840983033</v>
      </c>
    </row>
    <row r="47" spans="1:14" x14ac:dyDescent="0.25">
      <c r="A47" s="54" t="s">
        <v>126</v>
      </c>
      <c r="B47" s="16">
        <v>13</v>
      </c>
      <c r="C47" s="44">
        <f>AVERAGE(C35:C46)</f>
        <v>460.38333333333338</v>
      </c>
      <c r="D47" s="44" t="s">
        <v>79</v>
      </c>
      <c r="E47" s="44" t="s">
        <v>79</v>
      </c>
      <c r="F47" s="44" t="s">
        <v>79</v>
      </c>
      <c r="G47" s="44">
        <f>POWER(PRODUCT(G36:G46), 1/COUNTA(G36:G46))</f>
        <v>100.78311981337845</v>
      </c>
      <c r="H47" s="44" t="s">
        <v>79</v>
      </c>
      <c r="I47" s="44" t="s">
        <v>79</v>
      </c>
      <c r="J47" s="44" t="s">
        <v>79</v>
      </c>
      <c r="K47" s="44">
        <f>AVERAGE(K35:K46)</f>
        <v>87.567495715672052</v>
      </c>
      <c r="L47" s="44" t="s">
        <v>79</v>
      </c>
      <c r="M47" s="44" t="s">
        <v>79</v>
      </c>
      <c r="N47" s="44" t="s">
        <v>79</v>
      </c>
    </row>
    <row r="48" spans="1:14" x14ac:dyDescent="0.25">
      <c r="A48" s="60"/>
      <c r="B48" s="57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</row>
    <row r="49" spans="1:14" x14ac:dyDescent="0.25">
      <c r="A49" s="60" t="s">
        <v>26</v>
      </c>
      <c r="B49" s="57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</row>
    <row r="50" spans="1:14" x14ac:dyDescent="0.25">
      <c r="A50" s="60"/>
      <c r="B50" s="57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</row>
    <row r="51" spans="1:14" x14ac:dyDescent="0.25">
      <c r="B51" s="43"/>
      <c r="C51" s="43"/>
      <c r="D51" s="43"/>
    </row>
    <row r="52" spans="1:14" x14ac:dyDescent="0.25">
      <c r="A52" s="9" t="s">
        <v>122</v>
      </c>
    </row>
    <row r="53" spans="1:14" ht="45" x14ac:dyDescent="0.25">
      <c r="A53" s="83" t="s">
        <v>12</v>
      </c>
      <c r="B53" s="84"/>
      <c r="C53" s="2" t="s">
        <v>121</v>
      </c>
      <c r="D53" s="2" t="s">
        <v>119</v>
      </c>
      <c r="E53" s="2" t="s">
        <v>120</v>
      </c>
      <c r="F53" s="2" t="s">
        <v>124</v>
      </c>
      <c r="G53" s="2" t="s">
        <v>168</v>
      </c>
      <c r="H53" s="2" t="s">
        <v>169</v>
      </c>
      <c r="I53" s="2" t="s">
        <v>170</v>
      </c>
      <c r="J53" s="2" t="s">
        <v>171</v>
      </c>
      <c r="K53" s="2" t="s">
        <v>174</v>
      </c>
      <c r="L53" s="2" t="s">
        <v>119</v>
      </c>
      <c r="M53" s="2" t="s">
        <v>120</v>
      </c>
      <c r="N53" s="2" t="s">
        <v>124</v>
      </c>
    </row>
    <row r="54" spans="1:14" x14ac:dyDescent="0.25">
      <c r="A54" s="16" t="s">
        <v>13</v>
      </c>
      <c r="B54" s="16" t="s">
        <v>14</v>
      </c>
      <c r="C54" s="16" t="s">
        <v>143</v>
      </c>
      <c r="D54" s="16">
        <v>1</v>
      </c>
      <c r="E54" s="16">
        <v>2</v>
      </c>
      <c r="F54" s="16">
        <v>3</v>
      </c>
      <c r="G54" s="16">
        <v>4</v>
      </c>
      <c r="H54" s="16">
        <v>5</v>
      </c>
      <c r="I54" s="16">
        <v>6</v>
      </c>
      <c r="J54" s="16">
        <v>7</v>
      </c>
      <c r="K54" s="16">
        <v>8</v>
      </c>
      <c r="L54" s="16">
        <v>1</v>
      </c>
      <c r="M54" s="16">
        <v>2</v>
      </c>
      <c r="N54" s="16">
        <v>3</v>
      </c>
    </row>
    <row r="55" spans="1:14" x14ac:dyDescent="0.25">
      <c r="A55" s="54">
        <f t="array" ref="A55:A66">TRANSPOSE(C3:N3)</f>
        <v>2008</v>
      </c>
      <c r="B55" s="16">
        <v>1</v>
      </c>
      <c r="C55" s="54">
        <f t="array" ref="C55:C66">TRANSPOSE(C7:N7)</f>
        <v>40.200000000000003</v>
      </c>
      <c r="D55" s="44">
        <f t="shared" ref="D55:D66" si="28">C55-$C$67</f>
        <v>-10.183333333333344</v>
      </c>
      <c r="E55" s="44">
        <f>ABS(D55)</f>
        <v>10.183333333333344</v>
      </c>
      <c r="F55" s="44">
        <f>POWER(D55, 2)</f>
        <v>103.700277777778</v>
      </c>
      <c r="G55" s="44" t="s">
        <v>79</v>
      </c>
      <c r="H55" s="44" t="s">
        <v>79</v>
      </c>
      <c r="I55" s="44" t="s">
        <v>79</v>
      </c>
      <c r="J55" s="44" t="s">
        <v>79</v>
      </c>
      <c r="K55" s="44">
        <f t="shared" ref="K55:K66" si="29">C55/C15*100</f>
        <v>8.2275890298812939</v>
      </c>
      <c r="L55" s="44">
        <f>K55-$K$67</f>
        <v>-1.2909792947355765</v>
      </c>
      <c r="M55" s="44">
        <f>ABS(L55)</f>
        <v>1.2909792947355765</v>
      </c>
      <c r="N55" s="44">
        <f>POWER(L55, 2)</f>
        <v>1.6666275394359664</v>
      </c>
    </row>
    <row r="56" spans="1:14" x14ac:dyDescent="0.25">
      <c r="A56" s="54">
        <v>2009</v>
      </c>
      <c r="B56" s="16">
        <v>2</v>
      </c>
      <c r="C56" s="54">
        <v>40.1</v>
      </c>
      <c r="D56" s="44">
        <f t="shared" si="28"/>
        <v>-10.283333333333346</v>
      </c>
      <c r="E56" s="44">
        <f t="shared" ref="E56:E66" si="30">ABS(D56)</f>
        <v>10.283333333333346</v>
      </c>
      <c r="F56" s="44">
        <f t="shared" ref="F56:F66" si="31">POWER(D56, 2)</f>
        <v>105.74694444444469</v>
      </c>
      <c r="G56" s="44">
        <f>(C56/C55)*100</f>
        <v>99.75124378109453</v>
      </c>
      <c r="H56" s="44">
        <f>G56-$G$67</f>
        <v>-4.8878120696602707</v>
      </c>
      <c r="I56" s="44">
        <f>ABS(H56)</f>
        <v>4.8878120696602707</v>
      </c>
      <c r="J56" s="44">
        <f>POWER(I56, 2)</f>
        <v>23.89070682831662</v>
      </c>
      <c r="K56" s="44">
        <f t="shared" si="29"/>
        <v>8.112482298199474</v>
      </c>
      <c r="L56" s="44">
        <f t="shared" ref="L56:L66" si="32">K56-$K$67</f>
        <v>-1.4060860264173964</v>
      </c>
      <c r="M56" s="44">
        <f t="shared" ref="M56:M66" si="33">ABS(L56)</f>
        <v>1.4060860264173964</v>
      </c>
      <c r="N56" s="44">
        <f t="shared" ref="N56:N66" si="34">POWER(L56, 2)</f>
        <v>1.9770779136862633</v>
      </c>
    </row>
    <row r="57" spans="1:14" x14ac:dyDescent="0.25">
      <c r="A57" s="54">
        <v>2010</v>
      </c>
      <c r="B57" s="16">
        <v>3</v>
      </c>
      <c r="C57" s="54">
        <v>40.1</v>
      </c>
      <c r="D57" s="44">
        <f t="shared" si="28"/>
        <v>-10.283333333333346</v>
      </c>
      <c r="E57" s="44">
        <f t="shared" si="30"/>
        <v>10.283333333333346</v>
      </c>
      <c r="F57" s="44">
        <f t="shared" si="31"/>
        <v>105.74694444444469</v>
      </c>
      <c r="G57" s="44">
        <f t="shared" ref="G57:G66" si="35">(C57/C56)*100</f>
        <v>100</v>
      </c>
      <c r="H57" s="44">
        <f t="shared" ref="H57:H66" si="36">G57-$G$67</f>
        <v>-4.6390558507548008</v>
      </c>
      <c r="I57" s="44">
        <f t="shared" ref="I57" si="37">ABS(H57)</f>
        <v>4.6390558507548008</v>
      </c>
      <c r="J57" s="44">
        <f t="shared" ref="J57:J66" si="38">POWER(I57, 2)</f>
        <v>21.520839186422347</v>
      </c>
      <c r="K57" s="44">
        <f t="shared" si="29"/>
        <v>7.937450514647665</v>
      </c>
      <c r="L57" s="44">
        <f t="shared" si="32"/>
        <v>-1.5811178099692054</v>
      </c>
      <c r="M57" s="44">
        <f t="shared" si="33"/>
        <v>1.5811178099692054</v>
      </c>
      <c r="N57" s="44">
        <f t="shared" si="34"/>
        <v>2.4999335290018161</v>
      </c>
    </row>
    <row r="58" spans="1:14" x14ac:dyDescent="0.25">
      <c r="A58" s="54">
        <v>2011</v>
      </c>
      <c r="B58" s="16">
        <v>4</v>
      </c>
      <c r="C58" s="54">
        <v>42.4</v>
      </c>
      <c r="D58" s="44">
        <f t="shared" si="28"/>
        <v>-7.9833333333333485</v>
      </c>
      <c r="E58" s="44">
        <f t="shared" si="30"/>
        <v>7.9833333333333485</v>
      </c>
      <c r="F58" s="44">
        <f t="shared" si="31"/>
        <v>63.733611111111351</v>
      </c>
      <c r="G58" s="44">
        <f t="shared" si="35"/>
        <v>105.73566084788028</v>
      </c>
      <c r="H58" s="44">
        <f t="shared" si="36"/>
        <v>1.0966049971254819</v>
      </c>
      <c r="I58" s="44">
        <f t="shared" ref="I58" si="39">ABS(H58)</f>
        <v>1.0966049971254819</v>
      </c>
      <c r="J58" s="44">
        <f t="shared" si="38"/>
        <v>1.2025425197205781</v>
      </c>
      <c r="K58" s="44">
        <f t="shared" si="29"/>
        <v>8.2909659757528349</v>
      </c>
      <c r="L58" s="44">
        <f t="shared" si="32"/>
        <v>-1.2276023488640355</v>
      </c>
      <c r="M58" s="44">
        <f t="shared" si="33"/>
        <v>1.2276023488640355</v>
      </c>
      <c r="N58" s="44">
        <f t="shared" si="34"/>
        <v>1.5070075269364971</v>
      </c>
    </row>
    <row r="59" spans="1:14" x14ac:dyDescent="0.25">
      <c r="A59" s="54">
        <v>2012</v>
      </c>
      <c r="B59" s="16">
        <v>5</v>
      </c>
      <c r="C59" s="54">
        <v>43.5</v>
      </c>
      <c r="D59" s="44">
        <f t="shared" si="28"/>
        <v>-6.8833333333333471</v>
      </c>
      <c r="E59" s="44">
        <f t="shared" si="30"/>
        <v>6.8833333333333471</v>
      </c>
      <c r="F59" s="44">
        <f t="shared" si="31"/>
        <v>47.38027777777797</v>
      </c>
      <c r="G59" s="44">
        <f t="shared" si="35"/>
        <v>102.59433962264151</v>
      </c>
      <c r="H59" s="44">
        <f t="shared" si="36"/>
        <v>-2.0447162281132876</v>
      </c>
      <c r="I59" s="44">
        <f t="shared" ref="I59" si="40">ABS(H59)</f>
        <v>2.0447162281132876</v>
      </c>
      <c r="J59" s="44">
        <f t="shared" si="38"/>
        <v>4.1808644535098303</v>
      </c>
      <c r="K59" s="44">
        <f t="shared" si="29"/>
        <v>8.396062536189925</v>
      </c>
      <c r="L59" s="44">
        <f t="shared" si="32"/>
        <v>-1.1225057884269454</v>
      </c>
      <c r="M59" s="44">
        <f t="shared" si="33"/>
        <v>1.1225057884269454</v>
      </c>
      <c r="N59" s="44">
        <f t="shared" si="34"/>
        <v>1.2600192450519982</v>
      </c>
    </row>
    <row r="60" spans="1:14" x14ac:dyDescent="0.25">
      <c r="A60" s="54">
        <v>2013</v>
      </c>
      <c r="B60" s="16">
        <v>6</v>
      </c>
      <c r="C60" s="54">
        <v>45.1</v>
      </c>
      <c r="D60" s="44">
        <f t="shared" si="28"/>
        <v>-5.2833333333333456</v>
      </c>
      <c r="E60" s="44">
        <f t="shared" si="30"/>
        <v>5.2833333333333456</v>
      </c>
      <c r="F60" s="44">
        <f t="shared" si="31"/>
        <v>27.913611111111241</v>
      </c>
      <c r="G60" s="44">
        <f t="shared" si="35"/>
        <v>103.67816091954023</v>
      </c>
      <c r="H60" s="44">
        <f t="shared" si="36"/>
        <v>-0.96089493121456826</v>
      </c>
      <c r="I60" s="44">
        <f t="shared" ref="I60" si="41">ABS(H60)</f>
        <v>0.96089493121456826</v>
      </c>
      <c r="J60" s="44">
        <f t="shared" si="38"/>
        <v>0.92331906883384984</v>
      </c>
      <c r="K60" s="44">
        <f t="shared" si="29"/>
        <v>8.6167367214367605</v>
      </c>
      <c r="L60" s="44">
        <f t="shared" si="32"/>
        <v>-0.90183160318010991</v>
      </c>
      <c r="M60" s="44">
        <f t="shared" si="33"/>
        <v>0.90183160318010991</v>
      </c>
      <c r="N60" s="44">
        <f t="shared" si="34"/>
        <v>0.81330024049440719</v>
      </c>
    </row>
    <row r="61" spans="1:14" x14ac:dyDescent="0.25">
      <c r="A61" s="54">
        <v>2014</v>
      </c>
      <c r="B61" s="16">
        <v>7</v>
      </c>
      <c r="C61" s="54">
        <v>47.9</v>
      </c>
      <c r="D61" s="44">
        <f t="shared" si="28"/>
        <v>-2.4833333333333485</v>
      </c>
      <c r="E61" s="44">
        <f t="shared" si="30"/>
        <v>2.4833333333333485</v>
      </c>
      <c r="F61" s="44">
        <f t="shared" si="31"/>
        <v>6.1669444444445194</v>
      </c>
      <c r="G61" s="44">
        <f t="shared" si="35"/>
        <v>106.20842572062084</v>
      </c>
      <c r="H61" s="44">
        <f t="shared" si="36"/>
        <v>1.569369869866037</v>
      </c>
      <c r="I61" s="44">
        <f t="shared" ref="I61" si="42">ABS(H61)</f>
        <v>1.569369869866037</v>
      </c>
      <c r="J61" s="44">
        <f t="shared" si="38"/>
        <v>2.4629217884433419</v>
      </c>
      <c r="K61" s="44">
        <f t="shared" si="29"/>
        <v>9.0926347760060757</v>
      </c>
      <c r="L61" s="44">
        <f t="shared" si="32"/>
        <v>-0.42593354861079469</v>
      </c>
      <c r="M61" s="44">
        <f t="shared" si="33"/>
        <v>0.42593354861079469</v>
      </c>
      <c r="N61" s="44">
        <f t="shared" si="34"/>
        <v>0.1814193878321842</v>
      </c>
    </row>
    <row r="62" spans="1:14" x14ac:dyDescent="0.25">
      <c r="A62" s="54">
        <v>2015</v>
      </c>
      <c r="B62" s="16">
        <v>8</v>
      </c>
      <c r="C62" s="54">
        <v>54.6</v>
      </c>
      <c r="D62" s="44">
        <f t="shared" si="28"/>
        <v>4.2166666666666544</v>
      </c>
      <c r="E62" s="44">
        <f t="shared" si="30"/>
        <v>4.2166666666666544</v>
      </c>
      <c r="F62" s="44">
        <f t="shared" si="31"/>
        <v>17.780277777777673</v>
      </c>
      <c r="G62" s="44">
        <f t="shared" si="35"/>
        <v>113.9874739039666</v>
      </c>
      <c r="H62" s="44">
        <f t="shared" si="36"/>
        <v>9.3484180532118017</v>
      </c>
      <c r="I62" s="44">
        <f t="shared" ref="I62" si="43">ABS(H62)</f>
        <v>9.3484180532118017</v>
      </c>
      <c r="J62" s="44">
        <f t="shared" si="38"/>
        <v>87.39292009761634</v>
      </c>
      <c r="K62" s="44">
        <f t="shared" si="29"/>
        <v>10.218978102189782</v>
      </c>
      <c r="L62" s="44">
        <f t="shared" si="32"/>
        <v>0.70040977757291145</v>
      </c>
      <c r="M62" s="44">
        <f t="shared" si="33"/>
        <v>0.70040977757291145</v>
      </c>
      <c r="N62" s="44">
        <f t="shared" si="34"/>
        <v>0.49057385651973529</v>
      </c>
    </row>
    <row r="63" spans="1:14" x14ac:dyDescent="0.25">
      <c r="A63" s="54">
        <v>2016</v>
      </c>
      <c r="B63" s="16">
        <v>9</v>
      </c>
      <c r="C63" s="54">
        <v>59.3</v>
      </c>
      <c r="D63" s="44">
        <f t="shared" si="28"/>
        <v>8.9166666666666501</v>
      </c>
      <c r="E63" s="44">
        <f t="shared" si="30"/>
        <v>8.9166666666666501</v>
      </c>
      <c r="F63" s="44">
        <f t="shared" si="31"/>
        <v>79.506944444444144</v>
      </c>
      <c r="G63" s="44">
        <f t="shared" si="35"/>
        <v>108.6080586080586</v>
      </c>
      <c r="H63" s="44">
        <f t="shared" si="36"/>
        <v>3.969002757303798</v>
      </c>
      <c r="I63" s="44">
        <f t="shared" ref="I63" si="44">ABS(H63)</f>
        <v>3.969002757303798</v>
      </c>
      <c r="J63" s="44">
        <f t="shared" si="38"/>
        <v>15.752982887485151</v>
      </c>
      <c r="K63" s="44">
        <f t="shared" si="29"/>
        <v>10.8290723155588</v>
      </c>
      <c r="L63" s="44">
        <f t="shared" si="32"/>
        <v>1.31050399094193</v>
      </c>
      <c r="M63" s="44">
        <f t="shared" si="33"/>
        <v>1.31050399094193</v>
      </c>
      <c r="N63" s="44">
        <f t="shared" si="34"/>
        <v>1.7174207102747263</v>
      </c>
    </row>
    <row r="64" spans="1:14" x14ac:dyDescent="0.25">
      <c r="A64" s="54">
        <v>2017</v>
      </c>
      <c r="B64" s="16">
        <v>10</v>
      </c>
      <c r="C64" s="54">
        <v>61.7</v>
      </c>
      <c r="D64" s="44">
        <f t="shared" si="28"/>
        <v>11.316666666666656</v>
      </c>
      <c r="E64" s="44">
        <f t="shared" si="30"/>
        <v>11.316666666666656</v>
      </c>
      <c r="F64" s="44">
        <f t="shared" si="31"/>
        <v>128.0669444444442</v>
      </c>
      <c r="G64" s="44">
        <f t="shared" si="35"/>
        <v>104.04721753794269</v>
      </c>
      <c r="H64" s="44">
        <f t="shared" si="36"/>
        <v>-0.59183831281211496</v>
      </c>
      <c r="I64" s="44">
        <f t="shared" ref="I64" si="45">ABS(H64)</f>
        <v>0.59183831281211496</v>
      </c>
      <c r="J64" s="44">
        <f t="shared" si="38"/>
        <v>0.35027258851229082</v>
      </c>
      <c r="K64" s="44">
        <f t="shared" si="29"/>
        <v>11.283833211411851</v>
      </c>
      <c r="L64" s="44">
        <f t="shared" si="32"/>
        <v>1.7652648867949807</v>
      </c>
      <c r="M64" s="44">
        <f t="shared" si="33"/>
        <v>1.7652648867949807</v>
      </c>
      <c r="N64" s="44">
        <f t="shared" si="34"/>
        <v>3.1161601205512963</v>
      </c>
    </row>
    <row r="65" spans="1:14" x14ac:dyDescent="0.25">
      <c r="A65" s="54">
        <v>2018</v>
      </c>
      <c r="B65" s="16">
        <v>11</v>
      </c>
      <c r="C65" s="54">
        <v>63.5</v>
      </c>
      <c r="D65" s="44">
        <f t="shared" si="28"/>
        <v>13.116666666666653</v>
      </c>
      <c r="E65" s="44">
        <f t="shared" si="30"/>
        <v>13.116666666666653</v>
      </c>
      <c r="F65" s="44">
        <f t="shared" si="31"/>
        <v>172.04694444444408</v>
      </c>
      <c r="G65" s="44">
        <f t="shared" si="35"/>
        <v>102.91734197730955</v>
      </c>
      <c r="H65" s="44">
        <f t="shared" si="36"/>
        <v>-1.7217138734452533</v>
      </c>
      <c r="I65" s="44">
        <f t="shared" ref="I65" si="46">ABS(H65)</f>
        <v>1.7217138734452533</v>
      </c>
      <c r="J65" s="44">
        <f t="shared" si="38"/>
        <v>2.9642986620138578</v>
      </c>
      <c r="K65" s="44">
        <f t="shared" si="29"/>
        <v>11.420863309352518</v>
      </c>
      <c r="L65" s="44">
        <f t="shared" si="32"/>
        <v>1.9022949847356472</v>
      </c>
      <c r="M65" s="44">
        <f t="shared" si="33"/>
        <v>1.9022949847356472</v>
      </c>
      <c r="N65" s="44">
        <f t="shared" si="34"/>
        <v>3.6187262089503962</v>
      </c>
    </row>
    <row r="66" spans="1:14" x14ac:dyDescent="0.25">
      <c r="A66" s="54">
        <v>2019</v>
      </c>
      <c r="B66" s="16">
        <v>12</v>
      </c>
      <c r="C66" s="54">
        <v>66.2</v>
      </c>
      <c r="D66" s="44">
        <f t="shared" si="28"/>
        <v>15.816666666666656</v>
      </c>
      <c r="E66" s="44">
        <f t="shared" si="30"/>
        <v>15.816666666666656</v>
      </c>
      <c r="F66" s="44">
        <f t="shared" si="31"/>
        <v>250.16694444444411</v>
      </c>
      <c r="G66" s="44">
        <f t="shared" si="35"/>
        <v>104.25196850393701</v>
      </c>
      <c r="H66" s="44">
        <f t="shared" si="36"/>
        <v>-0.38708734681779333</v>
      </c>
      <c r="I66" s="44">
        <f t="shared" ref="I66" si="47">ABS(H66)</f>
        <v>0.38708734681779333</v>
      </c>
      <c r="J66" s="44">
        <f t="shared" si="38"/>
        <v>0.14983661406643861</v>
      </c>
      <c r="K66" s="44">
        <f t="shared" si="29"/>
        <v>11.796151104775481</v>
      </c>
      <c r="L66" s="44">
        <f t="shared" si="32"/>
        <v>2.2775827801586104</v>
      </c>
      <c r="M66" s="44">
        <f t="shared" si="33"/>
        <v>2.2775827801586104</v>
      </c>
      <c r="N66" s="44">
        <f t="shared" si="34"/>
        <v>5.1873833204750248</v>
      </c>
    </row>
    <row r="67" spans="1:14" x14ac:dyDescent="0.25">
      <c r="A67" s="54" t="s">
        <v>126</v>
      </c>
      <c r="B67" s="16">
        <v>13</v>
      </c>
      <c r="C67" s="44">
        <f>AVERAGE(C55:C66)</f>
        <v>50.383333333333347</v>
      </c>
      <c r="D67" s="44" t="s">
        <v>79</v>
      </c>
      <c r="E67" s="44" t="s">
        <v>79</v>
      </c>
      <c r="F67" s="44" t="s">
        <v>79</v>
      </c>
      <c r="G67" s="44">
        <f>POWER(PRODUCT(G56:G66), 1/COUNTA(G56:G66))</f>
        <v>104.6390558507548</v>
      </c>
      <c r="H67" s="44" t="s">
        <v>79</v>
      </c>
      <c r="I67" s="44" t="s">
        <v>79</v>
      </c>
      <c r="J67" s="44" t="s">
        <v>79</v>
      </c>
      <c r="K67" s="44">
        <f>AVERAGE(K55:K66)</f>
        <v>9.5185683246168704</v>
      </c>
      <c r="L67" s="44" t="s">
        <v>79</v>
      </c>
      <c r="M67" s="44" t="s">
        <v>79</v>
      </c>
      <c r="N67" s="44" t="s">
        <v>79</v>
      </c>
    </row>
    <row r="68" spans="1:14" x14ac:dyDescent="0.25">
      <c r="A68" s="60"/>
      <c r="B68" s="57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</row>
    <row r="69" spans="1:14" x14ac:dyDescent="0.25">
      <c r="A69" s="60" t="s">
        <v>26</v>
      </c>
      <c r="B69" s="57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</row>
    <row r="70" spans="1:14" x14ac:dyDescent="0.25">
      <c r="A70" s="60"/>
      <c r="B70" s="57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</row>
    <row r="71" spans="1:14" x14ac:dyDescent="0.25">
      <c r="B71" s="43"/>
      <c r="C71" s="43"/>
      <c r="D71" s="43"/>
    </row>
    <row r="72" spans="1:14" x14ac:dyDescent="0.25">
      <c r="A72" s="9" t="s">
        <v>123</v>
      </c>
    </row>
    <row r="73" spans="1:14" ht="45" x14ac:dyDescent="0.25">
      <c r="A73" s="83" t="s">
        <v>12</v>
      </c>
      <c r="B73" s="84"/>
      <c r="C73" s="2" t="s">
        <v>121</v>
      </c>
      <c r="D73" s="2" t="s">
        <v>119</v>
      </c>
      <c r="E73" s="2" t="s">
        <v>120</v>
      </c>
      <c r="F73" s="2" t="s">
        <v>124</v>
      </c>
      <c r="G73" s="2" t="s">
        <v>168</v>
      </c>
      <c r="H73" s="2" t="s">
        <v>169</v>
      </c>
      <c r="I73" s="2" t="s">
        <v>170</v>
      </c>
      <c r="J73" s="2" t="s">
        <v>171</v>
      </c>
      <c r="K73" s="2" t="s">
        <v>174</v>
      </c>
      <c r="L73" s="2" t="s">
        <v>119</v>
      </c>
      <c r="M73" s="2" t="s">
        <v>120</v>
      </c>
      <c r="N73" s="2" t="s">
        <v>124</v>
      </c>
    </row>
    <row r="74" spans="1:14" x14ac:dyDescent="0.25">
      <c r="A74" s="16" t="s">
        <v>13</v>
      </c>
      <c r="B74" s="16" t="s">
        <v>14</v>
      </c>
      <c r="C74" s="16" t="s">
        <v>143</v>
      </c>
      <c r="D74" s="16">
        <v>1</v>
      </c>
      <c r="E74" s="16">
        <v>2</v>
      </c>
      <c r="F74" s="16">
        <v>3</v>
      </c>
      <c r="G74" s="16">
        <v>4</v>
      </c>
      <c r="H74" s="16">
        <v>5</v>
      </c>
      <c r="I74" s="16">
        <v>6</v>
      </c>
      <c r="J74" s="16">
        <v>7</v>
      </c>
      <c r="K74" s="16">
        <v>8</v>
      </c>
      <c r="L74" s="16">
        <v>1</v>
      </c>
      <c r="M74" s="16">
        <v>2</v>
      </c>
      <c r="N74" s="16">
        <v>3</v>
      </c>
    </row>
    <row r="75" spans="1:14" x14ac:dyDescent="0.25">
      <c r="A75" s="2">
        <v>2008</v>
      </c>
      <c r="B75" s="16">
        <v>1</v>
      </c>
      <c r="C75" s="5">
        <f t="array" ref="C75:C86">TRANSPOSE(C8:N8)</f>
        <v>12</v>
      </c>
      <c r="D75" s="44">
        <f t="shared" ref="D75:D86" si="48">C75-$C$87</f>
        <v>-3.3666666666666671</v>
      </c>
      <c r="E75" s="44">
        <f>ABS(D75)</f>
        <v>3.3666666666666671</v>
      </c>
      <c r="F75" s="44">
        <f>POWER(D75, 2)</f>
        <v>11.334444444444447</v>
      </c>
      <c r="G75" s="44" t="s">
        <v>79</v>
      </c>
      <c r="H75" s="44" t="s">
        <v>79</v>
      </c>
      <c r="I75" s="44" t="s">
        <v>79</v>
      </c>
      <c r="J75" s="44" t="s">
        <v>79</v>
      </c>
      <c r="K75" s="44">
        <f t="shared" ref="K75:K86" si="49">C75/C15*100</f>
        <v>2.4559967253376995</v>
      </c>
      <c r="L75" s="44">
        <f>K75-$K$87</f>
        <v>-0.45649890599246667</v>
      </c>
      <c r="M75" s="44">
        <f>ABS(L75)</f>
        <v>0.45649890599246667</v>
      </c>
      <c r="N75" s="44">
        <f>POWER(L75, 2)</f>
        <v>0.20839125117231894</v>
      </c>
    </row>
    <row r="76" spans="1:14" x14ac:dyDescent="0.25">
      <c r="A76" s="2">
        <v>2009</v>
      </c>
      <c r="B76" s="16">
        <v>2</v>
      </c>
      <c r="C76" s="5">
        <v>14.8</v>
      </c>
      <c r="D76" s="44">
        <f t="shared" si="48"/>
        <v>-0.56666666666666643</v>
      </c>
      <c r="E76" s="44">
        <f t="shared" ref="E76:E86" si="50">ABS(D76)</f>
        <v>0.56666666666666643</v>
      </c>
      <c r="F76" s="44">
        <f t="shared" ref="F76:F85" si="51">POWER(D76, 2)</f>
        <v>0.32111111111111085</v>
      </c>
      <c r="G76" s="44">
        <f>(C76/C75)*100</f>
        <v>123.33333333333334</v>
      </c>
      <c r="H76" s="44">
        <f>G76-$G$87</f>
        <v>18.869610606411683</v>
      </c>
      <c r="I76" s="44">
        <f>ABS(H76)</f>
        <v>18.869610606411683</v>
      </c>
      <c r="J76" s="44">
        <f>POWER(I76, 2)</f>
        <v>356.06220443760429</v>
      </c>
      <c r="K76" s="44">
        <f t="shared" si="49"/>
        <v>2.9941331175399553</v>
      </c>
      <c r="L76" s="44">
        <f t="shared" ref="L76:L86" si="52">K76-$K$87</f>
        <v>8.1637486209789056E-2</v>
      </c>
      <c r="M76" s="44">
        <f t="shared" ref="M76:M86" si="53">ABS(L76)</f>
        <v>8.1637486209789056E-2</v>
      </c>
      <c r="N76" s="44">
        <f t="shared" ref="N76:N86" si="54">POWER(L76, 2)</f>
        <v>6.6646791546534981E-3</v>
      </c>
    </row>
    <row r="77" spans="1:14" x14ac:dyDescent="0.25">
      <c r="A77" s="2">
        <v>2010</v>
      </c>
      <c r="B77" s="16">
        <v>3</v>
      </c>
      <c r="C77" s="5">
        <v>14.4</v>
      </c>
      <c r="D77" s="44">
        <f t="shared" si="48"/>
        <v>-0.96666666666666679</v>
      </c>
      <c r="E77" s="44">
        <f t="shared" si="50"/>
        <v>0.96666666666666679</v>
      </c>
      <c r="F77" s="44">
        <f t="shared" si="51"/>
        <v>0.93444444444444463</v>
      </c>
      <c r="G77" s="44">
        <f t="shared" ref="G77:G86" si="55">(C77/C76)*100</f>
        <v>97.297297297297291</v>
      </c>
      <c r="H77" s="44">
        <f t="shared" ref="H77:H86" si="56">G77-$G$87</f>
        <v>-7.1664254296243683</v>
      </c>
      <c r="I77" s="44">
        <f t="shared" ref="I77" si="57">ABS(H77)</f>
        <v>7.1664254296243683</v>
      </c>
      <c r="J77" s="44">
        <f t="shared" ref="J77:J86" si="58">POWER(I77, 2)</f>
        <v>51.35765343836681</v>
      </c>
      <c r="K77" s="44">
        <f t="shared" si="49"/>
        <v>2.8503562945368173</v>
      </c>
      <c r="L77" s="44">
        <f t="shared" si="52"/>
        <v>-6.2139336793348932E-2</v>
      </c>
      <c r="M77" s="44">
        <f t="shared" si="53"/>
        <v>6.2139336793348932E-2</v>
      </c>
      <c r="N77" s="44">
        <f t="shared" si="54"/>
        <v>3.8612971771172485E-3</v>
      </c>
    </row>
    <row r="78" spans="1:14" x14ac:dyDescent="0.25">
      <c r="A78" s="2">
        <v>2011</v>
      </c>
      <c r="B78" s="16">
        <v>4</v>
      </c>
      <c r="C78" s="5">
        <v>15.1</v>
      </c>
      <c r="D78" s="44">
        <f t="shared" si="48"/>
        <v>-0.2666666666666675</v>
      </c>
      <c r="E78" s="44">
        <f t="shared" si="50"/>
        <v>0.2666666666666675</v>
      </c>
      <c r="F78" s="44">
        <f t="shared" si="51"/>
        <v>7.1111111111111555E-2</v>
      </c>
      <c r="G78" s="44">
        <f t="shared" si="55"/>
        <v>104.86111111111111</v>
      </c>
      <c r="H78" s="44">
        <f>G78-$G$87</f>
        <v>0.39738838418945477</v>
      </c>
      <c r="I78" s="44">
        <f t="shared" ref="I78" si="59">ABS(H78)</f>
        <v>0.39738838418945477</v>
      </c>
      <c r="J78" s="44">
        <f t="shared" si="58"/>
        <v>0.15791752788870569</v>
      </c>
      <c r="K78" s="44">
        <f t="shared" si="49"/>
        <v>2.9526789206100901</v>
      </c>
      <c r="L78" s="44">
        <f t="shared" si="52"/>
        <v>4.0183289279923873E-2</v>
      </c>
      <c r="M78" s="44">
        <f t="shared" si="53"/>
        <v>4.0183289279923873E-2</v>
      </c>
      <c r="N78" s="44">
        <f t="shared" si="54"/>
        <v>1.6146967373540449E-3</v>
      </c>
    </row>
    <row r="79" spans="1:14" x14ac:dyDescent="0.25">
      <c r="A79" s="2">
        <v>2012</v>
      </c>
      <c r="B79" s="16">
        <v>5</v>
      </c>
      <c r="C79" s="5">
        <v>14.1</v>
      </c>
      <c r="D79" s="44">
        <f t="shared" si="48"/>
        <v>-1.2666666666666675</v>
      </c>
      <c r="E79" s="44">
        <f t="shared" si="50"/>
        <v>1.2666666666666675</v>
      </c>
      <c r="F79" s="44">
        <f t="shared" si="51"/>
        <v>1.6044444444444466</v>
      </c>
      <c r="G79" s="44">
        <f t="shared" si="55"/>
        <v>93.377483443708613</v>
      </c>
      <c r="H79" s="44">
        <f t="shared" si="56"/>
        <v>-11.086239283213047</v>
      </c>
      <c r="I79" s="44">
        <f t="shared" ref="I79" si="60">ABS(H79)</f>
        <v>11.086239283213047</v>
      </c>
      <c r="J79" s="44">
        <f t="shared" si="58"/>
        <v>122.90470144465613</v>
      </c>
      <c r="K79" s="44">
        <f t="shared" si="49"/>
        <v>2.7214823393167342</v>
      </c>
      <c r="L79" s="44">
        <f t="shared" si="52"/>
        <v>-0.19101329201343198</v>
      </c>
      <c r="M79" s="44">
        <f t="shared" si="53"/>
        <v>0.19101329201343198</v>
      </c>
      <c r="N79" s="44">
        <f t="shared" si="54"/>
        <v>3.6486077725808634E-2</v>
      </c>
    </row>
    <row r="80" spans="1:14" x14ac:dyDescent="0.25">
      <c r="A80" s="2">
        <v>2013</v>
      </c>
      <c r="B80" s="16">
        <v>6</v>
      </c>
      <c r="C80" s="5">
        <v>14</v>
      </c>
      <c r="D80" s="44">
        <f t="shared" si="48"/>
        <v>-1.3666666666666671</v>
      </c>
      <c r="E80" s="44">
        <f t="shared" si="50"/>
        <v>1.3666666666666671</v>
      </c>
      <c r="F80" s="44">
        <f t="shared" si="51"/>
        <v>1.8677777777777791</v>
      </c>
      <c r="G80" s="44">
        <f t="shared" si="55"/>
        <v>99.290780141843967</v>
      </c>
      <c r="H80" s="44">
        <f t="shared" si="56"/>
        <v>-5.172942585077692</v>
      </c>
      <c r="I80" s="44">
        <f t="shared" ref="I80" si="61">ABS(H80)</f>
        <v>5.172942585077692</v>
      </c>
      <c r="J80" s="44">
        <f t="shared" si="58"/>
        <v>26.759334988510275</v>
      </c>
      <c r="K80" s="44">
        <f t="shared" si="49"/>
        <v>2.6748184944593048</v>
      </c>
      <c r="L80" s="44">
        <f t="shared" si="52"/>
        <v>-0.23767713687086145</v>
      </c>
      <c r="M80" s="44">
        <f t="shared" si="53"/>
        <v>0.23767713687086145</v>
      </c>
      <c r="N80" s="44">
        <f t="shared" si="54"/>
        <v>5.6490421391130211E-2</v>
      </c>
    </row>
    <row r="81" spans="1:14" x14ac:dyDescent="0.25">
      <c r="A81" s="2">
        <v>2014</v>
      </c>
      <c r="B81" s="16">
        <v>7</v>
      </c>
      <c r="C81" s="5">
        <v>14.4</v>
      </c>
      <c r="D81" s="44">
        <f t="shared" si="48"/>
        <v>-0.96666666666666679</v>
      </c>
      <c r="E81" s="44">
        <f t="shared" si="50"/>
        <v>0.96666666666666679</v>
      </c>
      <c r="F81" s="44">
        <f t="shared" si="51"/>
        <v>0.93444444444444463</v>
      </c>
      <c r="G81" s="44">
        <f t="shared" si="55"/>
        <v>102.85714285714288</v>
      </c>
      <c r="H81" s="44">
        <f t="shared" si="56"/>
        <v>-1.6065798697787841</v>
      </c>
      <c r="I81" s="44">
        <f t="shared" ref="I81" si="62">ABS(H81)</f>
        <v>1.6065798697787841</v>
      </c>
      <c r="J81" s="44">
        <f t="shared" si="58"/>
        <v>2.5810988779784148</v>
      </c>
      <c r="K81" s="44">
        <f t="shared" si="49"/>
        <v>2.7334851936218683</v>
      </c>
      <c r="L81" s="44">
        <f t="shared" si="52"/>
        <v>-0.17901043770829794</v>
      </c>
      <c r="M81" s="44">
        <f t="shared" si="53"/>
        <v>0.17901043770829794</v>
      </c>
      <c r="N81" s="44">
        <f t="shared" si="54"/>
        <v>3.2044736808516418E-2</v>
      </c>
    </row>
    <row r="82" spans="1:14" x14ac:dyDescent="0.25">
      <c r="A82" s="2">
        <v>2015</v>
      </c>
      <c r="B82" s="16">
        <v>8</v>
      </c>
      <c r="C82" s="5">
        <v>15</v>
      </c>
      <c r="D82" s="44">
        <f t="shared" si="48"/>
        <v>-0.36666666666666714</v>
      </c>
      <c r="E82" s="44">
        <f t="shared" si="50"/>
        <v>0.36666666666666714</v>
      </c>
      <c r="F82" s="44">
        <f t="shared" si="51"/>
        <v>0.13444444444444478</v>
      </c>
      <c r="G82" s="44">
        <f t="shared" si="55"/>
        <v>104.16666666666667</v>
      </c>
      <c r="H82" s="44">
        <f t="shared" si="56"/>
        <v>-0.2970560602549881</v>
      </c>
      <c r="I82" s="44">
        <f t="shared" ref="I82" si="63">ABS(H82)</f>
        <v>0.2970560602549881</v>
      </c>
      <c r="J82" s="44">
        <f t="shared" si="58"/>
        <v>8.8242302934215117E-2</v>
      </c>
      <c r="K82" s="44">
        <f t="shared" si="49"/>
        <v>2.8074115665356545</v>
      </c>
      <c r="L82" s="44">
        <f t="shared" si="52"/>
        <v>-0.10508406479451171</v>
      </c>
      <c r="M82" s="44">
        <f t="shared" si="53"/>
        <v>0.10508406479451171</v>
      </c>
      <c r="N82" s="44">
        <f t="shared" si="54"/>
        <v>1.1042660673737135E-2</v>
      </c>
    </row>
    <row r="83" spans="1:14" x14ac:dyDescent="0.25">
      <c r="A83" s="2">
        <v>2016</v>
      </c>
      <c r="B83" s="16">
        <v>9</v>
      </c>
      <c r="C83" s="5">
        <v>16</v>
      </c>
      <c r="D83" s="44">
        <f t="shared" si="48"/>
        <v>0.63333333333333286</v>
      </c>
      <c r="E83" s="44">
        <f t="shared" si="50"/>
        <v>0.63333333333333286</v>
      </c>
      <c r="F83" s="44">
        <f t="shared" si="51"/>
        <v>0.40111111111111053</v>
      </c>
      <c r="G83" s="44">
        <f t="shared" si="55"/>
        <v>106.66666666666667</v>
      </c>
      <c r="H83" s="44">
        <f t="shared" si="56"/>
        <v>2.2029439397450119</v>
      </c>
      <c r="I83" s="44">
        <f t="shared" ref="I83" si="64">ABS(H83)</f>
        <v>2.2029439397450119</v>
      </c>
      <c r="J83" s="44">
        <f t="shared" si="58"/>
        <v>4.8529620016592743</v>
      </c>
      <c r="K83" s="44">
        <f t="shared" si="49"/>
        <v>2.9218407596785974</v>
      </c>
      <c r="L83" s="44">
        <f t="shared" si="52"/>
        <v>9.3451283484311531E-3</v>
      </c>
      <c r="M83" s="44">
        <f t="shared" si="53"/>
        <v>9.3451283484311531E-3</v>
      </c>
      <c r="N83" s="44">
        <f t="shared" si="54"/>
        <v>8.7331423848651578E-5</v>
      </c>
    </row>
    <row r="84" spans="1:14" x14ac:dyDescent="0.25">
      <c r="A84" s="2">
        <v>2017</v>
      </c>
      <c r="B84" s="16">
        <v>10</v>
      </c>
      <c r="C84" s="5">
        <v>16.5</v>
      </c>
      <c r="D84" s="44">
        <f t="shared" si="48"/>
        <v>1.1333333333333329</v>
      </c>
      <c r="E84" s="44">
        <f t="shared" si="50"/>
        <v>1.1333333333333329</v>
      </c>
      <c r="F84" s="44">
        <f t="shared" si="51"/>
        <v>1.2844444444444434</v>
      </c>
      <c r="G84" s="44">
        <f t="shared" si="55"/>
        <v>103.125</v>
      </c>
      <c r="H84" s="44">
        <f t="shared" si="56"/>
        <v>-1.3387227269216595</v>
      </c>
      <c r="I84" s="44">
        <f t="shared" ref="I84" si="65">ABS(H84)</f>
        <v>1.3387227269216595</v>
      </c>
      <c r="J84" s="44">
        <f t="shared" si="58"/>
        <v>1.7921785395765641</v>
      </c>
      <c r="K84" s="44">
        <f t="shared" si="49"/>
        <v>3.0175566934893929</v>
      </c>
      <c r="L84" s="44">
        <f t="shared" si="52"/>
        <v>0.10506106215922673</v>
      </c>
      <c r="M84" s="44">
        <f t="shared" si="53"/>
        <v>0.10506106215922673</v>
      </c>
      <c r="N84" s="44">
        <f t="shared" si="54"/>
        <v>1.1037826782024902E-2</v>
      </c>
    </row>
    <row r="85" spans="1:14" x14ac:dyDescent="0.25">
      <c r="A85" s="2">
        <v>2018</v>
      </c>
      <c r="B85" s="16">
        <v>11</v>
      </c>
      <c r="C85" s="5">
        <v>18.7</v>
      </c>
      <c r="D85" s="44">
        <f t="shared" si="48"/>
        <v>3.3333333333333321</v>
      </c>
      <c r="E85" s="44">
        <f t="shared" si="50"/>
        <v>3.3333333333333321</v>
      </c>
      <c r="F85" s="44">
        <f t="shared" si="51"/>
        <v>11.111111111111104</v>
      </c>
      <c r="G85" s="44">
        <f t="shared" si="55"/>
        <v>113.33333333333333</v>
      </c>
      <c r="H85" s="44">
        <f t="shared" si="56"/>
        <v>8.8696106064116691</v>
      </c>
      <c r="I85" s="44">
        <f t="shared" ref="I85" si="66">ABS(H85)</f>
        <v>8.8696106064116691</v>
      </c>
      <c r="J85" s="44">
        <f t="shared" si="58"/>
        <v>78.669992309370372</v>
      </c>
      <c r="K85" s="44">
        <f t="shared" si="49"/>
        <v>3.3633093525179856</v>
      </c>
      <c r="L85" s="44">
        <f t="shared" si="52"/>
        <v>0.45081372118781937</v>
      </c>
      <c r="M85" s="44">
        <f t="shared" si="53"/>
        <v>0.45081372118781937</v>
      </c>
      <c r="N85" s="44">
        <f t="shared" si="54"/>
        <v>0.20323301121120893</v>
      </c>
    </row>
    <row r="86" spans="1:14" x14ac:dyDescent="0.25">
      <c r="A86" s="2">
        <v>2019</v>
      </c>
      <c r="B86" s="16">
        <v>12</v>
      </c>
      <c r="C86" s="5">
        <v>19.399999999999999</v>
      </c>
      <c r="D86" s="44">
        <f t="shared" si="48"/>
        <v>4.0333333333333314</v>
      </c>
      <c r="E86" s="44">
        <f t="shared" si="50"/>
        <v>4.0333333333333314</v>
      </c>
      <c r="F86" s="44">
        <f>POWER(D86, 2)</f>
        <v>16.267777777777763</v>
      </c>
      <c r="G86" s="44">
        <f t="shared" si="55"/>
        <v>103.74331550802138</v>
      </c>
      <c r="H86" s="44">
        <f t="shared" si="56"/>
        <v>-0.72040721890027726</v>
      </c>
      <c r="I86" s="44">
        <f t="shared" ref="I86" si="67">ABS(H86)</f>
        <v>0.72040721890027726</v>
      </c>
      <c r="J86" s="44">
        <f t="shared" si="58"/>
        <v>0.51898656104363194</v>
      </c>
      <c r="K86" s="44">
        <f t="shared" si="49"/>
        <v>3.4568781183178894</v>
      </c>
      <c r="L86" s="44">
        <f t="shared" si="52"/>
        <v>0.54438248698772318</v>
      </c>
      <c r="M86" s="44">
        <f t="shared" si="53"/>
        <v>0.54438248698772318</v>
      </c>
      <c r="N86" s="44">
        <f t="shared" si="54"/>
        <v>0.2963522921389386</v>
      </c>
    </row>
    <row r="87" spans="1:14" x14ac:dyDescent="0.25">
      <c r="A87" s="2" t="s">
        <v>126</v>
      </c>
      <c r="B87" s="16">
        <v>13</v>
      </c>
      <c r="C87" s="5">
        <f>AVERAGE(C75:C86)</f>
        <v>15.366666666666667</v>
      </c>
      <c r="D87" s="44" t="s">
        <v>79</v>
      </c>
      <c r="E87" s="44" t="s">
        <v>79</v>
      </c>
      <c r="F87" s="44" t="s">
        <v>79</v>
      </c>
      <c r="G87" s="44">
        <f>POWER(PRODUCT(G76:G86), 1/COUNTA(G76:G86))</f>
        <v>104.46372272692166</v>
      </c>
      <c r="H87" s="44" t="s">
        <v>79</v>
      </c>
      <c r="I87" s="44" t="s">
        <v>79</v>
      </c>
      <c r="J87" s="44" t="s">
        <v>79</v>
      </c>
      <c r="K87" s="44">
        <f>AVERAGE(K75:K86)</f>
        <v>2.9124956313301662</v>
      </c>
      <c r="L87" s="44" t="s">
        <v>79</v>
      </c>
      <c r="M87" s="44" t="s">
        <v>79</v>
      </c>
      <c r="N87" s="44" t="s">
        <v>79</v>
      </c>
    </row>
    <row r="88" spans="1:14" x14ac:dyDescent="0.25">
      <c r="A88" s="53"/>
      <c r="B88" s="57"/>
      <c r="C88" s="4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 x14ac:dyDescent="0.25">
      <c r="A89" s="53" t="s">
        <v>26</v>
      </c>
      <c r="B89" s="57"/>
      <c r="C89" s="4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 x14ac:dyDescent="0.25">
      <c r="A90" s="53"/>
      <c r="B90" s="57"/>
      <c r="C90" s="4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2" spans="1:14" x14ac:dyDescent="0.25">
      <c r="A92" s="9" t="s">
        <v>25</v>
      </c>
    </row>
    <row r="93" spans="1:14" x14ac:dyDescent="0.25">
      <c r="A93" s="9"/>
    </row>
    <row r="94" spans="1:14" x14ac:dyDescent="0.25">
      <c r="A94" s="2" t="s">
        <v>75</v>
      </c>
      <c r="B94" s="2">
        <v>7.28</v>
      </c>
    </row>
    <row r="95" spans="1:14" x14ac:dyDescent="0.25">
      <c r="A95" s="9"/>
    </row>
    <row r="97" spans="1:14" x14ac:dyDescent="0.25">
      <c r="A97" s="82" t="s">
        <v>12</v>
      </c>
      <c r="B97" s="82"/>
      <c r="C97" s="2">
        <v>2008</v>
      </c>
      <c r="D97" s="2">
        <v>2009</v>
      </c>
      <c r="E97" s="2">
        <v>2010</v>
      </c>
      <c r="F97" s="2">
        <v>2011</v>
      </c>
      <c r="G97" s="2">
        <v>2012</v>
      </c>
      <c r="H97" s="2">
        <v>2013</v>
      </c>
      <c r="I97" s="2">
        <v>2014</v>
      </c>
      <c r="J97" s="2">
        <v>2015</v>
      </c>
      <c r="K97" s="2">
        <v>2016</v>
      </c>
      <c r="L97" s="2">
        <v>2017</v>
      </c>
      <c r="M97" s="2">
        <v>2018</v>
      </c>
      <c r="N97" s="2">
        <v>2019</v>
      </c>
    </row>
    <row r="98" spans="1:14" x14ac:dyDescent="0.25">
      <c r="A98" s="17" t="s">
        <v>13</v>
      </c>
      <c r="B98" s="15" t="s">
        <v>14</v>
      </c>
      <c r="C98" s="15">
        <v>1</v>
      </c>
      <c r="D98" s="15">
        <v>2</v>
      </c>
      <c r="E98" s="15">
        <v>3</v>
      </c>
      <c r="F98" s="15">
        <v>4</v>
      </c>
      <c r="G98" s="15">
        <v>5</v>
      </c>
      <c r="H98" s="15">
        <v>6</v>
      </c>
      <c r="I98" s="15">
        <v>7</v>
      </c>
      <c r="J98" s="15">
        <v>8</v>
      </c>
      <c r="K98" s="15">
        <v>9</v>
      </c>
      <c r="L98" s="15">
        <v>10</v>
      </c>
      <c r="M98" s="15">
        <v>11</v>
      </c>
      <c r="N98" s="15">
        <v>12</v>
      </c>
    </row>
    <row r="99" spans="1:14" x14ac:dyDescent="0.25">
      <c r="A99" s="3" t="s">
        <v>3</v>
      </c>
      <c r="B99" s="16">
        <v>1</v>
      </c>
      <c r="C99" s="5">
        <f t="shared" ref="C99:N99" si="68">C5*$B$94</f>
        <v>3557.0080000000003</v>
      </c>
      <c r="D99" s="5">
        <f t="shared" si="68"/>
        <v>3598.5040000000004</v>
      </c>
      <c r="E99" s="5">
        <f t="shared" si="68"/>
        <v>3677.8560000000002</v>
      </c>
      <c r="F99" s="5">
        <f t="shared" si="68"/>
        <v>3722.9919999999997</v>
      </c>
      <c r="G99" s="5">
        <f t="shared" si="68"/>
        <v>3771.7680000000005</v>
      </c>
      <c r="H99" s="5">
        <f t="shared" si="68"/>
        <v>3810.3519999999999</v>
      </c>
      <c r="I99" s="5">
        <f t="shared" si="68"/>
        <v>3835.1039999999998</v>
      </c>
      <c r="J99" s="5">
        <f t="shared" si="68"/>
        <v>3889.7039999999997</v>
      </c>
      <c r="K99" s="5">
        <f t="shared" si="68"/>
        <v>3986.5280000000002</v>
      </c>
      <c r="L99" s="5">
        <f t="shared" si="68"/>
        <v>3980.7039999999997</v>
      </c>
      <c r="M99" s="5">
        <f t="shared" si="68"/>
        <v>4047.6800000000003</v>
      </c>
      <c r="N99" s="5">
        <f t="shared" si="68"/>
        <v>4085.5360000000005</v>
      </c>
    </row>
    <row r="100" spans="1:14" x14ac:dyDescent="0.25">
      <c r="A100" s="13" t="s">
        <v>0</v>
      </c>
      <c r="B100" s="16">
        <v>2</v>
      </c>
      <c r="C100" s="5">
        <f t="shared" ref="C100:N100" si="69">C6*$B$94</f>
        <v>3176.9919999999997</v>
      </c>
      <c r="D100" s="5">
        <f t="shared" si="69"/>
        <v>3198.8319999999999</v>
      </c>
      <c r="E100" s="5">
        <f t="shared" si="69"/>
        <v>3281.096</v>
      </c>
      <c r="F100" s="5">
        <f t="shared" si="69"/>
        <v>3304.3919999999998</v>
      </c>
      <c r="G100" s="5">
        <f t="shared" si="69"/>
        <v>3351.712</v>
      </c>
      <c r="H100" s="5">
        <f t="shared" si="69"/>
        <v>3380.8319999999999</v>
      </c>
      <c r="I100" s="5">
        <f t="shared" si="69"/>
        <v>3381.56</v>
      </c>
      <c r="J100" s="5">
        <f t="shared" si="69"/>
        <v>3383.7440000000001</v>
      </c>
      <c r="K100" s="5">
        <f t="shared" si="69"/>
        <v>3438.3440000000001</v>
      </c>
      <c r="L100" s="5">
        <f t="shared" si="69"/>
        <v>3411.4080000000004</v>
      </c>
      <c r="M100" s="5">
        <f t="shared" si="69"/>
        <v>3448.5360000000001</v>
      </c>
      <c r="N100" s="5">
        <f t="shared" si="69"/>
        <v>3461.6400000000003</v>
      </c>
    </row>
    <row r="101" spans="1:14" x14ac:dyDescent="0.25">
      <c r="A101" s="14" t="s">
        <v>4</v>
      </c>
      <c r="B101" s="16">
        <v>3</v>
      </c>
      <c r="C101" s="5">
        <f t="shared" ref="C101:N101" si="70">C7*$B$94</f>
        <v>292.65600000000001</v>
      </c>
      <c r="D101" s="5">
        <f t="shared" si="70"/>
        <v>291.928</v>
      </c>
      <c r="E101" s="5">
        <f t="shared" si="70"/>
        <v>291.928</v>
      </c>
      <c r="F101" s="5">
        <f t="shared" si="70"/>
        <v>308.67200000000003</v>
      </c>
      <c r="G101" s="5">
        <f t="shared" si="70"/>
        <v>316.68</v>
      </c>
      <c r="H101" s="5">
        <f t="shared" si="70"/>
        <v>328.32800000000003</v>
      </c>
      <c r="I101" s="5">
        <f t="shared" si="70"/>
        <v>348.71199999999999</v>
      </c>
      <c r="J101" s="5">
        <f t="shared" si="70"/>
        <v>397.488</v>
      </c>
      <c r="K101" s="5">
        <f t="shared" si="70"/>
        <v>431.70400000000001</v>
      </c>
      <c r="L101" s="5">
        <f t="shared" si="70"/>
        <v>449.17600000000004</v>
      </c>
      <c r="M101" s="5">
        <f t="shared" si="70"/>
        <v>462.28000000000003</v>
      </c>
      <c r="N101" s="5">
        <f t="shared" si="70"/>
        <v>481.93600000000004</v>
      </c>
    </row>
    <row r="102" spans="1:14" x14ac:dyDescent="0.25">
      <c r="A102" s="13" t="s">
        <v>1</v>
      </c>
      <c r="B102" s="16">
        <v>4</v>
      </c>
      <c r="C102" s="5">
        <f t="shared" ref="C102:N102" si="71">C8*$B$94</f>
        <v>87.36</v>
      </c>
      <c r="D102" s="5">
        <f t="shared" si="71"/>
        <v>107.74400000000001</v>
      </c>
      <c r="E102" s="5">
        <f t="shared" si="71"/>
        <v>104.83200000000001</v>
      </c>
      <c r="F102" s="5">
        <f t="shared" si="71"/>
        <v>109.928</v>
      </c>
      <c r="G102" s="5">
        <f t="shared" si="71"/>
        <v>102.648</v>
      </c>
      <c r="H102" s="5">
        <f t="shared" si="71"/>
        <v>101.92</v>
      </c>
      <c r="I102" s="5">
        <f t="shared" si="71"/>
        <v>104.83200000000001</v>
      </c>
      <c r="J102" s="5">
        <f t="shared" si="71"/>
        <v>109.2</v>
      </c>
      <c r="K102" s="5">
        <f t="shared" si="71"/>
        <v>116.48</v>
      </c>
      <c r="L102" s="5">
        <f t="shared" si="71"/>
        <v>120.12</v>
      </c>
      <c r="M102" s="5">
        <f t="shared" si="71"/>
        <v>136.136</v>
      </c>
      <c r="N102" s="5">
        <f t="shared" si="71"/>
        <v>141.232</v>
      </c>
    </row>
    <row r="104" spans="1:14" x14ac:dyDescent="0.25">
      <c r="A104" s="6" t="s">
        <v>26</v>
      </c>
    </row>
    <row r="106" spans="1:14" x14ac:dyDescent="0.25">
      <c r="A106" s="9" t="s">
        <v>27</v>
      </c>
    </row>
    <row r="107" spans="1:14" x14ac:dyDescent="0.25">
      <c r="A107" s="9"/>
    </row>
    <row r="108" spans="1:14" x14ac:dyDescent="0.25">
      <c r="A108" s="13" t="s">
        <v>76</v>
      </c>
      <c r="B108" s="13">
        <v>1.43</v>
      </c>
    </row>
    <row r="109" spans="1:14" x14ac:dyDescent="0.25">
      <c r="A109" s="13" t="s">
        <v>77</v>
      </c>
      <c r="B109" s="13">
        <v>6.8419999999999996</v>
      </c>
    </row>
    <row r="110" spans="1:14" x14ac:dyDescent="0.25">
      <c r="A110" s="9"/>
    </row>
    <row r="112" spans="1:14" x14ac:dyDescent="0.25">
      <c r="A112" s="82" t="s">
        <v>12</v>
      </c>
      <c r="B112" s="82"/>
      <c r="C112" s="2">
        <v>2008</v>
      </c>
      <c r="D112" s="2">
        <v>2009</v>
      </c>
      <c r="E112" s="2">
        <v>2010</v>
      </c>
      <c r="F112" s="2">
        <v>2011</v>
      </c>
      <c r="G112" s="2">
        <v>2012</v>
      </c>
      <c r="H112" s="2">
        <v>2013</v>
      </c>
      <c r="I112" s="2">
        <v>2014</v>
      </c>
      <c r="J112" s="2">
        <v>2015</v>
      </c>
      <c r="K112" s="2">
        <v>2016</v>
      </c>
      <c r="L112" s="2">
        <v>2017</v>
      </c>
      <c r="M112" s="2">
        <v>2018</v>
      </c>
      <c r="N112" s="2">
        <v>2019</v>
      </c>
    </row>
    <row r="113" spans="1:14" x14ac:dyDescent="0.25">
      <c r="A113" s="17" t="s">
        <v>13</v>
      </c>
      <c r="B113" s="15" t="s">
        <v>14</v>
      </c>
      <c r="C113" s="15">
        <v>1</v>
      </c>
      <c r="D113" s="15">
        <v>2</v>
      </c>
      <c r="E113" s="15">
        <v>3</v>
      </c>
      <c r="F113" s="15">
        <v>4</v>
      </c>
      <c r="G113" s="15">
        <v>5</v>
      </c>
      <c r="H113" s="15">
        <v>6</v>
      </c>
      <c r="I113" s="15">
        <v>7</v>
      </c>
      <c r="J113" s="15">
        <v>8</v>
      </c>
      <c r="K113" s="15">
        <v>9</v>
      </c>
      <c r="L113" s="15">
        <v>10</v>
      </c>
      <c r="M113" s="15">
        <v>11</v>
      </c>
      <c r="N113" s="15">
        <v>12</v>
      </c>
    </row>
    <row r="114" spans="1:14" x14ac:dyDescent="0.25">
      <c r="A114" s="3" t="s">
        <v>3</v>
      </c>
      <c r="B114" s="16">
        <v>1</v>
      </c>
      <c r="C114" s="5">
        <f t="shared" ref="C114:N114" si="72">C5*$B$109*$B$108</f>
        <v>4780.4917160000005</v>
      </c>
      <c r="D114" s="5">
        <f t="shared" si="72"/>
        <v>4836.2608579999996</v>
      </c>
      <c r="E114" s="5">
        <f t="shared" si="72"/>
        <v>4942.9071119999999</v>
      </c>
      <c r="F114" s="5">
        <f t="shared" si="72"/>
        <v>5003.5682839999999</v>
      </c>
      <c r="G114" s="5">
        <f t="shared" si="72"/>
        <v>5069.121486</v>
      </c>
      <c r="H114" s="5">
        <f t="shared" si="72"/>
        <v>5120.9770039999994</v>
      </c>
      <c r="I114" s="5">
        <f t="shared" si="72"/>
        <v>5154.2428079999991</v>
      </c>
      <c r="J114" s="5">
        <f t="shared" si="72"/>
        <v>5227.6232579999996</v>
      </c>
      <c r="K114" s="5">
        <f t="shared" si="72"/>
        <v>5357.7512559999996</v>
      </c>
      <c r="L114" s="5">
        <f t="shared" si="72"/>
        <v>5349.924007999999</v>
      </c>
      <c r="M114" s="5">
        <f t="shared" si="72"/>
        <v>5439.937359999999</v>
      </c>
      <c r="N114" s="5">
        <f t="shared" si="72"/>
        <v>5490.814472</v>
      </c>
    </row>
    <row r="115" spans="1:14" x14ac:dyDescent="0.25">
      <c r="A115" s="13" t="s">
        <v>0</v>
      </c>
      <c r="B115" s="16">
        <v>2</v>
      </c>
      <c r="C115" s="5">
        <f t="shared" ref="C115:N115" si="73">C6*$B$109*$B$108</f>
        <v>4269.7637839999998</v>
      </c>
      <c r="D115" s="5">
        <f t="shared" si="73"/>
        <v>4299.1159639999996</v>
      </c>
      <c r="E115" s="5">
        <f t="shared" si="73"/>
        <v>4409.6758419999996</v>
      </c>
      <c r="F115" s="5">
        <f t="shared" si="73"/>
        <v>4440.9848339999999</v>
      </c>
      <c r="G115" s="5">
        <f t="shared" si="73"/>
        <v>4504.5812239999996</v>
      </c>
      <c r="H115" s="5">
        <f t="shared" si="73"/>
        <v>4543.7174639999994</v>
      </c>
      <c r="I115" s="5">
        <f t="shared" si="73"/>
        <v>4544.6958699999996</v>
      </c>
      <c r="J115" s="5">
        <f t="shared" si="73"/>
        <v>4547.6310880000001</v>
      </c>
      <c r="K115" s="5">
        <f t="shared" si="73"/>
        <v>4621.0115379999997</v>
      </c>
      <c r="L115" s="5">
        <f t="shared" si="73"/>
        <v>4584.8105159999996</v>
      </c>
      <c r="M115" s="5">
        <f t="shared" si="73"/>
        <v>4634.7092219999995</v>
      </c>
      <c r="N115" s="5">
        <f t="shared" si="73"/>
        <v>4652.3205299999991</v>
      </c>
    </row>
    <row r="116" spans="1:14" x14ac:dyDescent="0.25">
      <c r="A116" s="14" t="s">
        <v>4</v>
      </c>
      <c r="B116" s="16">
        <v>3</v>
      </c>
      <c r="C116" s="5">
        <f t="shared" ref="C116:N116" si="74">C7*$B$109*$B$108</f>
        <v>393.31921199999999</v>
      </c>
      <c r="D116" s="5">
        <f t="shared" si="74"/>
        <v>392.34080599999993</v>
      </c>
      <c r="E116" s="5">
        <f t="shared" si="74"/>
        <v>392.34080599999993</v>
      </c>
      <c r="F116" s="5">
        <f t="shared" si="74"/>
        <v>414.84414399999997</v>
      </c>
      <c r="G116" s="5">
        <f t="shared" si="74"/>
        <v>425.60660999999999</v>
      </c>
      <c r="H116" s="5">
        <f t="shared" si="74"/>
        <v>441.26110599999998</v>
      </c>
      <c r="I116" s="5">
        <f t="shared" si="74"/>
        <v>468.65647399999995</v>
      </c>
      <c r="J116" s="5">
        <f t="shared" si="74"/>
        <v>534.20967599999994</v>
      </c>
      <c r="K116" s="5">
        <f t="shared" si="74"/>
        <v>580.19475799999998</v>
      </c>
      <c r="L116" s="5">
        <f t="shared" si="74"/>
        <v>603.67650200000003</v>
      </c>
      <c r="M116" s="5">
        <f t="shared" si="74"/>
        <v>621.28780999999992</v>
      </c>
      <c r="N116" s="5">
        <f t="shared" si="74"/>
        <v>647.70477199999993</v>
      </c>
    </row>
    <row r="117" spans="1:14" x14ac:dyDescent="0.25">
      <c r="A117" s="13" t="s">
        <v>1</v>
      </c>
      <c r="B117" s="16">
        <v>4</v>
      </c>
      <c r="C117" s="5">
        <f t="shared" ref="C117:N117" si="75">C8*$B$109*$B$108</f>
        <v>117.40871999999999</v>
      </c>
      <c r="D117" s="5">
        <f t="shared" si="75"/>
        <v>144.80408800000001</v>
      </c>
      <c r="E117" s="5">
        <f t="shared" si="75"/>
        <v>140.89046399999998</v>
      </c>
      <c r="F117" s="5">
        <f t="shared" si="75"/>
        <v>147.73930599999997</v>
      </c>
      <c r="G117" s="5">
        <f t="shared" si="75"/>
        <v>137.95524599999999</v>
      </c>
      <c r="H117" s="5">
        <f t="shared" si="75"/>
        <v>136.97683999999998</v>
      </c>
      <c r="I117" s="5">
        <f t="shared" si="75"/>
        <v>140.89046399999998</v>
      </c>
      <c r="J117" s="5">
        <f t="shared" si="75"/>
        <v>146.76089999999999</v>
      </c>
      <c r="K117" s="5">
        <f t="shared" si="75"/>
        <v>156.54495999999997</v>
      </c>
      <c r="L117" s="5">
        <f t="shared" si="75"/>
        <v>161.43698999999998</v>
      </c>
      <c r="M117" s="5">
        <f t="shared" si="75"/>
        <v>182.96192199999999</v>
      </c>
      <c r="N117" s="5">
        <f t="shared" si="75"/>
        <v>189.81076399999995</v>
      </c>
    </row>
    <row r="119" spans="1:14" x14ac:dyDescent="0.25">
      <c r="A119" s="6" t="s">
        <v>26</v>
      </c>
    </row>
    <row r="121" spans="1:14" x14ac:dyDescent="0.25">
      <c r="A121" s="9" t="s">
        <v>29</v>
      </c>
    </row>
    <row r="123" spans="1:14" x14ac:dyDescent="0.25">
      <c r="A123" s="82" t="s">
        <v>12</v>
      </c>
      <c r="B123" s="82"/>
      <c r="C123" s="2">
        <v>2008</v>
      </c>
      <c r="D123" s="2">
        <v>2009</v>
      </c>
      <c r="E123" s="2">
        <v>2010</v>
      </c>
      <c r="F123" s="2">
        <v>2011</v>
      </c>
      <c r="G123" s="2">
        <v>2012</v>
      </c>
      <c r="H123" s="2">
        <v>2013</v>
      </c>
      <c r="I123" s="2">
        <v>2014</v>
      </c>
      <c r="J123" s="2">
        <v>2015</v>
      </c>
      <c r="K123" s="2">
        <v>2016</v>
      </c>
      <c r="L123" s="2">
        <v>2017</v>
      </c>
      <c r="M123" s="2">
        <v>2018</v>
      </c>
      <c r="N123" s="2">
        <v>2019</v>
      </c>
    </row>
    <row r="124" spans="1:14" x14ac:dyDescent="0.25">
      <c r="A124" s="17" t="s">
        <v>13</v>
      </c>
      <c r="B124" s="15" t="s">
        <v>14</v>
      </c>
      <c r="C124" s="15">
        <v>1</v>
      </c>
      <c r="D124" s="15">
        <v>2</v>
      </c>
      <c r="E124" s="15">
        <v>3</v>
      </c>
      <c r="F124" s="15">
        <v>4</v>
      </c>
      <c r="G124" s="15">
        <v>5</v>
      </c>
      <c r="H124" s="15">
        <v>6</v>
      </c>
      <c r="I124" s="15">
        <v>7</v>
      </c>
      <c r="J124" s="15">
        <v>8</v>
      </c>
      <c r="K124" s="15">
        <v>9</v>
      </c>
      <c r="L124" s="15">
        <v>10</v>
      </c>
      <c r="M124" s="15">
        <v>11</v>
      </c>
      <c r="N124" s="15">
        <v>12</v>
      </c>
    </row>
    <row r="125" spans="1:14" x14ac:dyDescent="0.25">
      <c r="A125" s="3" t="s">
        <v>3</v>
      </c>
      <c r="B125" s="16">
        <v>1</v>
      </c>
      <c r="C125" s="5" t="s">
        <v>28</v>
      </c>
      <c r="D125" s="36">
        <f t="shared" ref="D125:N125" si="76">D5-C5</f>
        <v>5.6999999999999886</v>
      </c>
      <c r="E125" s="36">
        <f t="shared" si="76"/>
        <v>10.899999999999977</v>
      </c>
      <c r="F125" s="36">
        <f t="shared" si="76"/>
        <v>6.1999999999999886</v>
      </c>
      <c r="G125" s="36">
        <f t="shared" si="76"/>
        <v>6.7000000000000455</v>
      </c>
      <c r="H125" s="36">
        <f t="shared" si="76"/>
        <v>5.2999999999999545</v>
      </c>
      <c r="I125" s="36">
        <f t="shared" si="76"/>
        <v>3.3999999999999773</v>
      </c>
      <c r="J125" s="36">
        <f t="shared" si="76"/>
        <v>7.5</v>
      </c>
      <c r="K125" s="36">
        <f t="shared" si="76"/>
        <v>13.300000000000068</v>
      </c>
      <c r="L125" s="36">
        <f t="shared" si="76"/>
        <v>-0.80000000000006821</v>
      </c>
      <c r="M125" s="36">
        <f t="shared" si="76"/>
        <v>9.2000000000000455</v>
      </c>
      <c r="N125" s="36">
        <f t="shared" si="76"/>
        <v>5.2000000000000455</v>
      </c>
    </row>
    <row r="126" spans="1:14" x14ac:dyDescent="0.25">
      <c r="A126" s="13" t="s">
        <v>0</v>
      </c>
      <c r="B126" s="16">
        <v>2</v>
      </c>
      <c r="C126" s="5" t="s">
        <v>28</v>
      </c>
      <c r="D126" s="36">
        <f t="shared" ref="D126:N126" si="77">D6-C6</f>
        <v>3</v>
      </c>
      <c r="E126" s="36">
        <f t="shared" si="77"/>
        <v>11.300000000000011</v>
      </c>
      <c r="F126" s="36">
        <f t="shared" si="77"/>
        <v>3.1999999999999886</v>
      </c>
      <c r="G126" s="36">
        <f t="shared" si="77"/>
        <v>6.5</v>
      </c>
      <c r="H126" s="36">
        <f t="shared" si="77"/>
        <v>4</v>
      </c>
      <c r="I126" s="36">
        <f t="shared" si="77"/>
        <v>0.10000000000002274</v>
      </c>
      <c r="J126" s="36">
        <f t="shared" si="77"/>
        <v>0.30000000000001137</v>
      </c>
      <c r="K126" s="36">
        <f t="shared" si="77"/>
        <v>7.5</v>
      </c>
      <c r="L126" s="36">
        <f t="shared" si="77"/>
        <v>-3.6999999999999886</v>
      </c>
      <c r="M126" s="36">
        <f t="shared" si="77"/>
        <v>5.0999999999999659</v>
      </c>
      <c r="N126" s="36">
        <f t="shared" si="77"/>
        <v>1.8000000000000114</v>
      </c>
    </row>
    <row r="127" spans="1:14" x14ac:dyDescent="0.25">
      <c r="A127" s="14" t="s">
        <v>4</v>
      </c>
      <c r="B127" s="16">
        <v>3</v>
      </c>
      <c r="C127" s="5" t="s">
        <v>28</v>
      </c>
      <c r="D127" s="36">
        <f t="shared" ref="D127:N127" si="78">D7-C7</f>
        <v>-0.10000000000000142</v>
      </c>
      <c r="E127" s="36">
        <f t="shared" si="78"/>
        <v>0</v>
      </c>
      <c r="F127" s="36">
        <f t="shared" si="78"/>
        <v>2.2999999999999972</v>
      </c>
      <c r="G127" s="36">
        <f t="shared" si="78"/>
        <v>1.1000000000000014</v>
      </c>
      <c r="H127" s="36">
        <f t="shared" si="78"/>
        <v>1.6000000000000014</v>
      </c>
      <c r="I127" s="36">
        <f t="shared" si="78"/>
        <v>2.7999999999999972</v>
      </c>
      <c r="J127" s="36">
        <f t="shared" si="78"/>
        <v>6.7000000000000028</v>
      </c>
      <c r="K127" s="36">
        <f t="shared" si="78"/>
        <v>4.6999999999999957</v>
      </c>
      <c r="L127" s="36">
        <f t="shared" si="78"/>
        <v>2.4000000000000057</v>
      </c>
      <c r="M127" s="36">
        <f t="shared" si="78"/>
        <v>1.7999999999999972</v>
      </c>
      <c r="N127" s="36">
        <f t="shared" si="78"/>
        <v>2.7000000000000028</v>
      </c>
    </row>
    <row r="128" spans="1:14" x14ac:dyDescent="0.25">
      <c r="A128" s="13" t="s">
        <v>1</v>
      </c>
      <c r="B128" s="16">
        <v>4</v>
      </c>
      <c r="C128" s="5" t="s">
        <v>28</v>
      </c>
      <c r="D128" s="36">
        <f t="shared" ref="D128:N128" si="79">D8-C8</f>
        <v>2.8000000000000007</v>
      </c>
      <c r="E128" s="36">
        <f t="shared" si="79"/>
        <v>-0.40000000000000036</v>
      </c>
      <c r="F128" s="36">
        <f t="shared" si="79"/>
        <v>0.69999999999999929</v>
      </c>
      <c r="G128" s="36">
        <f t="shared" si="79"/>
        <v>-1</v>
      </c>
      <c r="H128" s="36">
        <f t="shared" si="79"/>
        <v>-9.9999999999999645E-2</v>
      </c>
      <c r="I128" s="36">
        <f t="shared" si="79"/>
        <v>0.40000000000000036</v>
      </c>
      <c r="J128" s="36">
        <f t="shared" si="79"/>
        <v>0.59999999999999964</v>
      </c>
      <c r="K128" s="36">
        <f t="shared" si="79"/>
        <v>1</v>
      </c>
      <c r="L128" s="36">
        <f t="shared" si="79"/>
        <v>0.5</v>
      </c>
      <c r="M128" s="36">
        <f t="shared" si="79"/>
        <v>2.1999999999999993</v>
      </c>
      <c r="N128" s="36">
        <f t="shared" si="79"/>
        <v>0.69999999999999929</v>
      </c>
    </row>
    <row r="130" spans="1:28" x14ac:dyDescent="0.25">
      <c r="A130" s="6" t="s">
        <v>26</v>
      </c>
    </row>
    <row r="132" spans="1:28" x14ac:dyDescent="0.25">
      <c r="A132" s="9" t="s">
        <v>30</v>
      </c>
    </row>
    <row r="134" spans="1:28" x14ac:dyDescent="0.25">
      <c r="A134" s="82" t="s">
        <v>12</v>
      </c>
      <c r="B134" s="82"/>
      <c r="C134" s="2">
        <v>2008</v>
      </c>
      <c r="D134" s="2">
        <v>2009</v>
      </c>
      <c r="E134" s="2">
        <v>2010</v>
      </c>
      <c r="F134" s="2">
        <v>2011</v>
      </c>
      <c r="G134" s="2">
        <v>2012</v>
      </c>
      <c r="H134" s="2">
        <v>2013</v>
      </c>
      <c r="I134" s="2">
        <v>2014</v>
      </c>
      <c r="J134" s="2">
        <v>2015</v>
      </c>
      <c r="K134" s="2">
        <v>2016</v>
      </c>
      <c r="L134" s="2">
        <v>2017</v>
      </c>
      <c r="M134" s="2">
        <v>2018</v>
      </c>
      <c r="N134" s="2">
        <v>2019</v>
      </c>
    </row>
    <row r="135" spans="1:28" x14ac:dyDescent="0.25">
      <c r="A135" s="17" t="s">
        <v>13</v>
      </c>
      <c r="B135" s="15" t="s">
        <v>14</v>
      </c>
      <c r="C135" s="15">
        <v>1</v>
      </c>
      <c r="D135" s="15">
        <v>2</v>
      </c>
      <c r="E135" s="15">
        <v>3</v>
      </c>
      <c r="F135" s="15">
        <v>4</v>
      </c>
      <c r="G135" s="15">
        <v>5</v>
      </c>
      <c r="H135" s="15">
        <v>6</v>
      </c>
      <c r="I135" s="15">
        <v>7</v>
      </c>
      <c r="J135" s="15">
        <v>8</v>
      </c>
      <c r="K135" s="15">
        <v>9</v>
      </c>
      <c r="L135" s="15">
        <v>10</v>
      </c>
      <c r="M135" s="15">
        <v>11</v>
      </c>
      <c r="N135" s="15">
        <v>12</v>
      </c>
    </row>
    <row r="136" spans="1:28" x14ac:dyDescent="0.25">
      <c r="A136" s="14" t="s">
        <v>4</v>
      </c>
      <c r="B136" s="16">
        <v>1</v>
      </c>
      <c r="C136" s="5">
        <f t="shared" ref="C136:N136" si="80">C7-$C$6</f>
        <v>-396.2</v>
      </c>
      <c r="D136" s="5">
        <f t="shared" si="80"/>
        <v>-396.29999999999995</v>
      </c>
      <c r="E136" s="5">
        <f t="shared" si="80"/>
        <v>-396.29999999999995</v>
      </c>
      <c r="F136" s="5">
        <f t="shared" si="80"/>
        <v>-394</v>
      </c>
      <c r="G136" s="5">
        <f t="shared" si="80"/>
        <v>-392.9</v>
      </c>
      <c r="H136" s="5">
        <f t="shared" si="80"/>
        <v>-391.29999999999995</v>
      </c>
      <c r="I136" s="5">
        <f t="shared" si="80"/>
        <v>-388.5</v>
      </c>
      <c r="J136" s="5">
        <f t="shared" si="80"/>
        <v>-381.79999999999995</v>
      </c>
      <c r="K136" s="5">
        <f t="shared" si="80"/>
        <v>-377.09999999999997</v>
      </c>
      <c r="L136" s="5">
        <f t="shared" si="80"/>
        <v>-374.7</v>
      </c>
      <c r="M136" s="5">
        <f t="shared" si="80"/>
        <v>-372.9</v>
      </c>
      <c r="N136" s="5">
        <f t="shared" si="80"/>
        <v>-370.2</v>
      </c>
    </row>
    <row r="137" spans="1:28" x14ac:dyDescent="0.25">
      <c r="A137" s="13" t="s">
        <v>1</v>
      </c>
      <c r="B137" s="16">
        <v>2</v>
      </c>
      <c r="C137" s="5">
        <f t="shared" ref="C137:N137" si="81">C8-$C$6</f>
        <v>-424.4</v>
      </c>
      <c r="D137" s="5">
        <f t="shared" si="81"/>
        <v>-421.59999999999997</v>
      </c>
      <c r="E137" s="5">
        <f t="shared" si="81"/>
        <v>-422</v>
      </c>
      <c r="F137" s="5">
        <f t="shared" si="81"/>
        <v>-421.29999999999995</v>
      </c>
      <c r="G137" s="5">
        <f t="shared" si="81"/>
        <v>-422.29999999999995</v>
      </c>
      <c r="H137" s="5">
        <f t="shared" si="81"/>
        <v>-422.4</v>
      </c>
      <c r="I137" s="5">
        <f t="shared" si="81"/>
        <v>-422</v>
      </c>
      <c r="J137" s="5">
        <f t="shared" si="81"/>
        <v>-421.4</v>
      </c>
      <c r="K137" s="5">
        <f t="shared" si="81"/>
        <v>-420.4</v>
      </c>
      <c r="L137" s="5">
        <f t="shared" si="81"/>
        <v>-419.9</v>
      </c>
      <c r="M137" s="5">
        <f t="shared" si="81"/>
        <v>-417.7</v>
      </c>
      <c r="N137" s="5">
        <f t="shared" si="81"/>
        <v>-417</v>
      </c>
    </row>
    <row r="139" spans="1:28" x14ac:dyDescent="0.25">
      <c r="A139" s="6" t="s">
        <v>26</v>
      </c>
    </row>
    <row r="141" spans="1:28" x14ac:dyDescent="0.25">
      <c r="A141" s="9" t="s">
        <v>31</v>
      </c>
    </row>
    <row r="143" spans="1:28" ht="60" x14ac:dyDescent="0.25">
      <c r="A143" s="82" t="s">
        <v>12</v>
      </c>
      <c r="B143" s="82"/>
      <c r="C143" s="2">
        <v>2008</v>
      </c>
      <c r="D143" s="2">
        <v>2009</v>
      </c>
      <c r="E143" s="2">
        <v>2010</v>
      </c>
      <c r="F143" s="2">
        <v>2011</v>
      </c>
      <c r="G143" s="2">
        <v>2012</v>
      </c>
      <c r="H143" s="2">
        <v>2013</v>
      </c>
      <c r="I143" s="2">
        <v>2014</v>
      </c>
      <c r="J143" s="2">
        <v>2015</v>
      </c>
      <c r="K143" s="2">
        <v>2016</v>
      </c>
      <c r="L143" s="2">
        <v>2017</v>
      </c>
      <c r="M143" s="2">
        <v>2018</v>
      </c>
      <c r="N143" s="2">
        <v>2019</v>
      </c>
      <c r="O143" s="2" t="s">
        <v>88</v>
      </c>
      <c r="P143" s="2" t="s">
        <v>164</v>
      </c>
      <c r="Q143" s="2" t="s">
        <v>165</v>
      </c>
      <c r="R143" s="2" t="s">
        <v>173</v>
      </c>
      <c r="S143" s="2" t="s">
        <v>166</v>
      </c>
      <c r="T143" s="2" t="s">
        <v>116</v>
      </c>
      <c r="U143" s="2" t="s">
        <v>117</v>
      </c>
      <c r="V143" s="2" t="s">
        <v>118</v>
      </c>
      <c r="W143" s="2" t="s">
        <v>167</v>
      </c>
      <c r="X143" s="2" t="s">
        <v>125</v>
      </c>
      <c r="Y143" s="2" t="s">
        <v>172</v>
      </c>
      <c r="Z143" s="2" t="s">
        <v>128</v>
      </c>
      <c r="AA143" s="2" t="s">
        <v>130</v>
      </c>
      <c r="AB143" s="2" t="s">
        <v>131</v>
      </c>
    </row>
    <row r="144" spans="1:28" x14ac:dyDescent="0.25">
      <c r="A144" s="17" t="s">
        <v>13</v>
      </c>
      <c r="B144" s="15" t="s">
        <v>14</v>
      </c>
      <c r="C144" s="15">
        <v>1</v>
      </c>
      <c r="D144" s="15">
        <v>2</v>
      </c>
      <c r="E144" s="15">
        <v>3</v>
      </c>
      <c r="F144" s="15">
        <v>4</v>
      </c>
      <c r="G144" s="15">
        <v>5</v>
      </c>
      <c r="H144" s="15">
        <v>6</v>
      </c>
      <c r="I144" s="15">
        <v>7</v>
      </c>
      <c r="J144" s="15">
        <v>8</v>
      </c>
      <c r="K144" s="15">
        <v>9</v>
      </c>
      <c r="L144" s="15">
        <v>10</v>
      </c>
      <c r="M144" s="15">
        <v>11</v>
      </c>
      <c r="N144" s="15">
        <v>12</v>
      </c>
      <c r="O144" s="15">
        <v>13</v>
      </c>
      <c r="P144" s="15">
        <v>14</v>
      </c>
      <c r="Q144" s="15">
        <v>15</v>
      </c>
      <c r="R144" s="15">
        <v>16</v>
      </c>
      <c r="S144" s="15">
        <v>17</v>
      </c>
      <c r="T144" s="15">
        <v>18</v>
      </c>
      <c r="U144" s="15">
        <v>19</v>
      </c>
      <c r="V144" s="15">
        <v>20</v>
      </c>
      <c r="W144" s="15">
        <v>21</v>
      </c>
      <c r="X144" s="15">
        <v>22</v>
      </c>
      <c r="Y144" s="15">
        <v>23</v>
      </c>
      <c r="Z144" s="15">
        <v>24</v>
      </c>
      <c r="AA144" s="15">
        <v>25</v>
      </c>
      <c r="AB144" s="15">
        <v>26</v>
      </c>
    </row>
    <row r="145" spans="1:28" ht="34.5" x14ac:dyDescent="0.25">
      <c r="A145" s="3" t="s">
        <v>3</v>
      </c>
      <c r="B145" s="16">
        <v>1</v>
      </c>
      <c r="C145" s="5" t="s">
        <v>28</v>
      </c>
      <c r="D145" s="36">
        <f t="shared" ref="D145:N145" si="82">(D5/C5)*100</f>
        <v>101.1665984445354</v>
      </c>
      <c r="E145" s="36">
        <f t="shared" si="82"/>
        <v>102.20513857980981</v>
      </c>
      <c r="F145" s="36">
        <f t="shared" si="82"/>
        <v>101.22723673792558</v>
      </c>
      <c r="G145" s="36">
        <f t="shared" si="82"/>
        <v>101.31012905748926</v>
      </c>
      <c r="H145" s="36">
        <f t="shared" si="82"/>
        <v>101.0229685388921</v>
      </c>
      <c r="I145" s="36">
        <f t="shared" si="82"/>
        <v>100.64959877722583</v>
      </c>
      <c r="J145" s="36">
        <f t="shared" si="82"/>
        <v>101.42369020501138</v>
      </c>
      <c r="K145" s="36">
        <f t="shared" si="82"/>
        <v>102.48923825566163</v>
      </c>
      <c r="L145" s="36">
        <f t="shared" si="82"/>
        <v>99.853907962016052</v>
      </c>
      <c r="M145" s="36">
        <f t="shared" si="82"/>
        <v>101.68251645940016</v>
      </c>
      <c r="N145" s="36">
        <f t="shared" si="82"/>
        <v>100.93525179856115</v>
      </c>
      <c r="O145" s="42">
        <f>GEOMEAN(D145:N145)</f>
        <v>101.26735637643823</v>
      </c>
      <c r="P145" s="42">
        <f>QUARTILE(D145:N145,4)</f>
        <v>102.48923825566163</v>
      </c>
      <c r="Q145" s="42">
        <f>QUARTILE(D145:N145, 0)</f>
        <v>99.853907962016052</v>
      </c>
      <c r="R145" s="42">
        <f>QUARTILE(D145:N145,2)</f>
        <v>101.22723673792558</v>
      </c>
      <c r="S145" s="42">
        <f>P145-Q145</f>
        <v>2.6353302936455805</v>
      </c>
      <c r="T145" s="42">
        <f>QUARTILE(D145:N145,1)</f>
        <v>100.97911016872663</v>
      </c>
      <c r="U145" s="42">
        <f>QUARTILE(D145:N145, 3)</f>
        <v>101.55310333220578</v>
      </c>
      <c r="V145" s="42" t="s">
        <v>202</v>
      </c>
      <c r="W145" s="42">
        <f>SUM(I16:I26)/COUNTA(I16:I26)</f>
        <v>0.50204606133221119</v>
      </c>
      <c r="X145" s="42">
        <f>SUM(J16:J26)/COUNTA(J16:J26)</f>
        <v>0.46657272127826421</v>
      </c>
      <c r="Y145" s="42">
        <f>SQRT(X145)</f>
        <v>0.68306128661948351</v>
      </c>
      <c r="Z145" s="42">
        <f>S145/O145*100</f>
        <v>2.6023492544323394</v>
      </c>
      <c r="AA145" s="42">
        <f>W145/O145*100</f>
        <v>0.49576297762328253</v>
      </c>
      <c r="AB145" s="42">
        <f>Y145/O145*100</f>
        <v>0.67451280556822224</v>
      </c>
    </row>
    <row r="146" spans="1:28" ht="34.5" x14ac:dyDescent="0.25">
      <c r="A146" s="13" t="s">
        <v>0</v>
      </c>
      <c r="B146" s="16">
        <v>2</v>
      </c>
      <c r="C146" s="5" t="s">
        <v>28</v>
      </c>
      <c r="D146" s="36">
        <f t="shared" ref="D146:N146" si="83">(D6/C6)*100</f>
        <v>100.68744271310723</v>
      </c>
      <c r="E146" s="36">
        <f t="shared" si="83"/>
        <v>102.57168866636322</v>
      </c>
      <c r="F146" s="36">
        <f t="shared" si="83"/>
        <v>100.7100066563124</v>
      </c>
      <c r="G146" s="36">
        <f t="shared" si="83"/>
        <v>101.43203348755232</v>
      </c>
      <c r="H146" s="36">
        <f t="shared" si="83"/>
        <v>100.86880973066899</v>
      </c>
      <c r="I146" s="36">
        <f t="shared" si="83"/>
        <v>100.02153316106805</v>
      </c>
      <c r="J146" s="36">
        <f t="shared" si="83"/>
        <v>100.06458557588805</v>
      </c>
      <c r="K146" s="36">
        <f t="shared" si="83"/>
        <v>101.61359724612737</v>
      </c>
      <c r="L146" s="36">
        <f t="shared" si="83"/>
        <v>99.216599618886306</v>
      </c>
      <c r="M146" s="36">
        <f t="shared" si="83"/>
        <v>101.08834827144686</v>
      </c>
      <c r="N146" s="36">
        <f t="shared" si="83"/>
        <v>100.37998733375555</v>
      </c>
      <c r="O146" s="42">
        <f t="shared" ref="O146:O148" si="84">GEOMEAN(D146:N146)</f>
        <v>100.78311981337841</v>
      </c>
      <c r="P146" s="42">
        <f>QUARTILE(D146:N146,4)</f>
        <v>102.57168866636322</v>
      </c>
      <c r="Q146" s="42">
        <f>QUARTILE(D146:N146, 0)</f>
        <v>99.216599618886306</v>
      </c>
      <c r="R146" s="42">
        <f>QUARTILE(D146:N146,2)</f>
        <v>100.7100066563124</v>
      </c>
      <c r="S146" s="42">
        <f>P146-Q146</f>
        <v>3.3550890474769091</v>
      </c>
      <c r="T146" s="42">
        <f>QUARTILE(D146:N146,1)</f>
        <v>100.2222864548218</v>
      </c>
      <c r="U146" s="42">
        <f>QUARTILE(D146:N146, 3)</f>
        <v>101.26019087949959</v>
      </c>
      <c r="V146" s="42" t="s">
        <v>203</v>
      </c>
      <c r="W146" s="42">
        <f>SUM(I36:I46)/COUNTA(I36:I46)</f>
        <v>0.66158565059269203</v>
      </c>
      <c r="X146" s="42">
        <f>SUM(J36:J46)/COUNTA(J36:J46)</f>
        <v>0.73977946134515871</v>
      </c>
      <c r="Y146" s="42">
        <f t="shared" ref="Y146:Y148" si="85">SQRT(X146)</f>
        <v>0.86010433166282718</v>
      </c>
      <c r="Z146" s="42">
        <f>S146/O146*100</f>
        <v>3.3290188413392809</v>
      </c>
      <c r="AA146" s="42">
        <f>W146/O146*100</f>
        <v>0.65644490051286364</v>
      </c>
      <c r="AB146" s="42">
        <f>Y146/O146*100</f>
        <v>0.85342102254375041</v>
      </c>
    </row>
    <row r="147" spans="1:28" ht="34.5" x14ac:dyDescent="0.25">
      <c r="A147" s="14" t="s">
        <v>4</v>
      </c>
      <c r="B147" s="16">
        <v>3</v>
      </c>
      <c r="C147" s="5" t="s">
        <v>28</v>
      </c>
      <c r="D147" s="36">
        <f t="shared" ref="D147:N147" si="86">(D7/C7)*100</f>
        <v>99.75124378109453</v>
      </c>
      <c r="E147" s="36">
        <f t="shared" si="86"/>
        <v>100</v>
      </c>
      <c r="F147" s="36">
        <f t="shared" si="86"/>
        <v>105.73566084788028</v>
      </c>
      <c r="G147" s="36">
        <f t="shared" si="86"/>
        <v>102.59433962264151</v>
      </c>
      <c r="H147" s="36">
        <f t="shared" si="86"/>
        <v>103.67816091954023</v>
      </c>
      <c r="I147" s="36">
        <f t="shared" si="86"/>
        <v>106.20842572062084</v>
      </c>
      <c r="J147" s="36">
        <f t="shared" si="86"/>
        <v>113.9874739039666</v>
      </c>
      <c r="K147" s="36">
        <f t="shared" si="86"/>
        <v>108.6080586080586</v>
      </c>
      <c r="L147" s="36">
        <f t="shared" si="86"/>
        <v>104.04721753794269</v>
      </c>
      <c r="M147" s="36">
        <f t="shared" si="86"/>
        <v>102.91734197730955</v>
      </c>
      <c r="N147" s="36">
        <f t="shared" si="86"/>
        <v>104.25196850393701</v>
      </c>
      <c r="O147" s="42">
        <f t="shared" si="84"/>
        <v>104.63905585075473</v>
      </c>
      <c r="P147" s="42">
        <f>QUARTILE(D147:N147,4)</f>
        <v>113.9874739039666</v>
      </c>
      <c r="Q147" s="42">
        <f>QUARTILE(D147:N147, 0)</f>
        <v>99.75124378109453</v>
      </c>
      <c r="R147" s="42">
        <f>QUARTILE(D147:N147,2)</f>
        <v>104.04721753794269</v>
      </c>
      <c r="S147" s="42">
        <f>P147-Q147</f>
        <v>14.236230122872072</v>
      </c>
      <c r="T147" s="42">
        <f>QUARTILE(D147:N147,1)</f>
        <v>102.75584079997553</v>
      </c>
      <c r="U147" s="42">
        <f>QUARTILE(D147:N147, 3)</f>
        <v>105.97204328425056</v>
      </c>
      <c r="V147" s="42" t="s">
        <v>204</v>
      </c>
      <c r="W147" s="42">
        <f>SUM(I56:I66)/COUNTA(I56:I66)</f>
        <v>2.8378649354841099</v>
      </c>
      <c r="X147" s="42">
        <f>SUM(J56:J66)/COUNTA(J56:J66)</f>
        <v>14.617409517721876</v>
      </c>
      <c r="Y147" s="42">
        <f t="shared" si="85"/>
        <v>3.8232720956952404</v>
      </c>
      <c r="Z147" s="42">
        <f>S147/O147*100</f>
        <v>13.605082736198437</v>
      </c>
      <c r="AA147" s="42">
        <f>W147/O147*100</f>
        <v>2.7120513582726877</v>
      </c>
      <c r="AB147" s="42">
        <f>Y147/O147*100</f>
        <v>3.6537715909328554</v>
      </c>
    </row>
    <row r="148" spans="1:28" ht="34.5" x14ac:dyDescent="0.25">
      <c r="A148" s="13" t="s">
        <v>1</v>
      </c>
      <c r="B148" s="16">
        <v>4</v>
      </c>
      <c r="C148" s="5" t="s">
        <v>28</v>
      </c>
      <c r="D148" s="36">
        <f t="shared" ref="D148:N148" si="87">(D8/C8)*100</f>
        <v>123.33333333333334</v>
      </c>
      <c r="E148" s="36">
        <f t="shared" si="87"/>
        <v>97.297297297297291</v>
      </c>
      <c r="F148" s="36">
        <f t="shared" si="87"/>
        <v>104.86111111111111</v>
      </c>
      <c r="G148" s="36">
        <f t="shared" si="87"/>
        <v>93.377483443708613</v>
      </c>
      <c r="H148" s="36">
        <f t="shared" si="87"/>
        <v>99.290780141843967</v>
      </c>
      <c r="I148" s="36">
        <f t="shared" si="87"/>
        <v>102.85714285714288</v>
      </c>
      <c r="J148" s="36">
        <f t="shared" si="87"/>
        <v>104.16666666666667</v>
      </c>
      <c r="K148" s="36">
        <f t="shared" si="87"/>
        <v>106.66666666666667</v>
      </c>
      <c r="L148" s="36">
        <f t="shared" si="87"/>
        <v>103.125</v>
      </c>
      <c r="M148" s="36">
        <f t="shared" si="87"/>
        <v>113.33333333333333</v>
      </c>
      <c r="N148" s="36">
        <f t="shared" si="87"/>
        <v>103.74331550802138</v>
      </c>
      <c r="O148" s="42">
        <f t="shared" si="84"/>
        <v>104.46372272692165</v>
      </c>
      <c r="P148" s="42">
        <f>QUARTILE(D148:N148,4)</f>
        <v>123.33333333333334</v>
      </c>
      <c r="Q148" s="42">
        <f>QUARTILE(D148:N148, 0)</f>
        <v>93.377483443708613</v>
      </c>
      <c r="R148" s="42">
        <f>QUARTILE(D148:N148,2)</f>
        <v>103.74331550802138</v>
      </c>
      <c r="S148" s="42">
        <f>P148-Q148</f>
        <v>29.95584988962473</v>
      </c>
      <c r="T148" s="42">
        <f>QUARTILE(D148:N148,1)</f>
        <v>101.07396149949342</v>
      </c>
      <c r="U148" s="42">
        <f>QUARTILE(D148:N148, 3)</f>
        <v>105.76388888888889</v>
      </c>
      <c r="V148" s="42" t="s">
        <v>205</v>
      </c>
      <c r="W148" s="42">
        <f>SUM(I76:I86)/COUNTA(I76:I86)</f>
        <v>5.2479933373207848</v>
      </c>
      <c r="X148" s="42">
        <f>SUM(J76:J86)/COUNTA(J76:J86)</f>
        <v>58.704115675417164</v>
      </c>
      <c r="Y148" s="42">
        <f t="shared" si="85"/>
        <v>7.6618611104233132</v>
      </c>
      <c r="Z148" s="42">
        <f>S148/O148*100</f>
        <v>28.675839906579093</v>
      </c>
      <c r="AA148" s="42">
        <f>W148/O148*100</f>
        <v>5.0237471921611974</v>
      </c>
      <c r="AB148" s="42">
        <f>Y148/O148*100</f>
        <v>7.334470675961037</v>
      </c>
    </row>
    <row r="149" spans="1:28" x14ac:dyDescent="0.25">
      <c r="R149" s="59"/>
    </row>
    <row r="150" spans="1:28" x14ac:dyDescent="0.25">
      <c r="A150" s="6" t="s">
        <v>26</v>
      </c>
    </row>
    <row r="152" spans="1:28" x14ac:dyDescent="0.25">
      <c r="A152" s="9" t="s">
        <v>32</v>
      </c>
    </row>
    <row r="154" spans="1:28" x14ac:dyDescent="0.25">
      <c r="A154" s="82" t="s">
        <v>12</v>
      </c>
      <c r="B154" s="82"/>
      <c r="C154" s="2">
        <v>2008</v>
      </c>
      <c r="D154" s="2">
        <v>2009</v>
      </c>
      <c r="E154" s="2">
        <v>2010</v>
      </c>
      <c r="F154" s="2">
        <v>2011</v>
      </c>
      <c r="G154" s="2">
        <v>2012</v>
      </c>
      <c r="H154" s="2">
        <v>2013</v>
      </c>
      <c r="I154" s="2">
        <v>2014</v>
      </c>
      <c r="J154" s="2">
        <v>2015</v>
      </c>
      <c r="K154" s="2">
        <v>2016</v>
      </c>
      <c r="L154" s="2">
        <v>2017</v>
      </c>
      <c r="M154" s="2">
        <v>2018</v>
      </c>
      <c r="N154" s="2">
        <v>2019</v>
      </c>
    </row>
    <row r="155" spans="1:28" x14ac:dyDescent="0.25">
      <c r="A155" s="17" t="s">
        <v>13</v>
      </c>
      <c r="B155" s="15" t="s">
        <v>14</v>
      </c>
      <c r="C155" s="15">
        <v>1</v>
      </c>
      <c r="D155" s="15">
        <v>2</v>
      </c>
      <c r="E155" s="15">
        <v>3</v>
      </c>
      <c r="F155" s="15">
        <v>4</v>
      </c>
      <c r="G155" s="15">
        <v>5</v>
      </c>
      <c r="H155" s="15">
        <v>6</v>
      </c>
      <c r="I155" s="15">
        <v>7</v>
      </c>
      <c r="J155" s="15">
        <v>8</v>
      </c>
      <c r="K155" s="15">
        <v>9</v>
      </c>
      <c r="L155" s="15">
        <v>10</v>
      </c>
      <c r="M155" s="15">
        <v>11</v>
      </c>
      <c r="N155" s="15">
        <v>12</v>
      </c>
    </row>
    <row r="156" spans="1:28" x14ac:dyDescent="0.25">
      <c r="A156" s="3" t="s">
        <v>3</v>
      </c>
      <c r="B156" s="16">
        <v>1</v>
      </c>
      <c r="C156" s="5">
        <f t="shared" ref="C156:N156" si="88">(C5/$E5)*100</f>
        <v>96.714172604908953</v>
      </c>
      <c r="D156" s="5">
        <f t="shared" si="88"/>
        <v>97.842438638163117</v>
      </c>
      <c r="E156" s="5">
        <f t="shared" si="88"/>
        <v>100</v>
      </c>
      <c r="F156" s="5">
        <f t="shared" si="88"/>
        <v>101.22723673792558</v>
      </c>
      <c r="G156" s="5">
        <f t="shared" si="88"/>
        <v>102.55344418052258</v>
      </c>
      <c r="H156" s="5">
        <f t="shared" si="88"/>
        <v>103.60253365003959</v>
      </c>
      <c r="I156" s="5">
        <f t="shared" si="88"/>
        <v>104.27553444180522</v>
      </c>
      <c r="J156" s="5">
        <f t="shared" si="88"/>
        <v>105.76009501187649</v>
      </c>
      <c r="K156" s="5">
        <f t="shared" si="88"/>
        <v>108.39271575613618</v>
      </c>
      <c r="L156" s="5">
        <f t="shared" si="88"/>
        <v>108.23436262866191</v>
      </c>
      <c r="M156" s="5">
        <f t="shared" si="88"/>
        <v>110.055423594616</v>
      </c>
      <c r="N156" s="5">
        <f t="shared" si="88"/>
        <v>111.08471892319875</v>
      </c>
    </row>
    <row r="157" spans="1:28" x14ac:dyDescent="0.25">
      <c r="A157" s="13" t="s">
        <v>0</v>
      </c>
      <c r="B157" s="16">
        <v>2</v>
      </c>
      <c r="C157" s="5">
        <f t="shared" ref="C157:N157" si="89">(C6/$E6)*100</f>
        <v>96.827157754603945</v>
      </c>
      <c r="D157" s="5">
        <f t="shared" si="89"/>
        <v>97.492788994896827</v>
      </c>
      <c r="E157" s="5">
        <f t="shared" si="89"/>
        <v>100</v>
      </c>
      <c r="F157" s="5">
        <f t="shared" si="89"/>
        <v>100.7100066563124</v>
      </c>
      <c r="G157" s="5">
        <f t="shared" si="89"/>
        <v>102.15220767694697</v>
      </c>
      <c r="H157" s="5">
        <f t="shared" si="89"/>
        <v>103.03971599733748</v>
      </c>
      <c r="I157" s="5">
        <f t="shared" si="89"/>
        <v>103.06190370534725</v>
      </c>
      <c r="J157" s="5">
        <f t="shared" si="89"/>
        <v>103.12846682937653</v>
      </c>
      <c r="K157" s="5">
        <f t="shared" si="89"/>
        <v>104.79254493010872</v>
      </c>
      <c r="L157" s="5">
        <f t="shared" si="89"/>
        <v>103.97159973374752</v>
      </c>
      <c r="M157" s="5">
        <f t="shared" si="89"/>
        <v>105.1031728422454</v>
      </c>
      <c r="N157" s="5">
        <f t="shared" si="89"/>
        <v>105.50255158642112</v>
      </c>
    </row>
    <row r="158" spans="1:28" x14ac:dyDescent="0.25">
      <c r="A158" s="14" t="s">
        <v>4</v>
      </c>
      <c r="B158" s="16">
        <v>3</v>
      </c>
      <c r="C158" s="5">
        <f t="shared" ref="C158:N158" si="90">(C7/$E7)*100</f>
        <v>100.24937655860349</v>
      </c>
      <c r="D158" s="5">
        <f t="shared" si="90"/>
        <v>100</v>
      </c>
      <c r="E158" s="5">
        <f t="shared" si="90"/>
        <v>100</v>
      </c>
      <c r="F158" s="5">
        <f t="shared" si="90"/>
        <v>105.73566084788028</v>
      </c>
      <c r="G158" s="5">
        <f t="shared" si="90"/>
        <v>108.47880299251871</v>
      </c>
      <c r="H158" s="5">
        <f t="shared" si="90"/>
        <v>112.46882793017457</v>
      </c>
      <c r="I158" s="5">
        <f t="shared" si="90"/>
        <v>119.4513715710723</v>
      </c>
      <c r="J158" s="5">
        <f t="shared" si="90"/>
        <v>136.15960099750623</v>
      </c>
      <c r="K158" s="5">
        <f t="shared" si="90"/>
        <v>147.88029925187033</v>
      </c>
      <c r="L158" s="5">
        <f t="shared" si="90"/>
        <v>153.86533665835412</v>
      </c>
      <c r="M158" s="5">
        <f t="shared" si="90"/>
        <v>158.35411471321694</v>
      </c>
      <c r="N158" s="5">
        <f t="shared" si="90"/>
        <v>165.08728179551122</v>
      </c>
    </row>
    <row r="159" spans="1:28" x14ac:dyDescent="0.25">
      <c r="A159" s="13" t="s">
        <v>1</v>
      </c>
      <c r="B159" s="16">
        <v>4</v>
      </c>
      <c r="C159" s="5">
        <f t="shared" ref="C159:N159" si="91">(C8/$E8)*100</f>
        <v>83.333333333333329</v>
      </c>
      <c r="D159" s="5">
        <f t="shared" si="91"/>
        <v>102.77777777777779</v>
      </c>
      <c r="E159" s="5">
        <f t="shared" si="91"/>
        <v>100</v>
      </c>
      <c r="F159" s="5">
        <f t="shared" si="91"/>
        <v>104.86111111111111</v>
      </c>
      <c r="G159" s="5">
        <f t="shared" si="91"/>
        <v>97.916666666666657</v>
      </c>
      <c r="H159" s="5">
        <f t="shared" si="91"/>
        <v>97.222222222222214</v>
      </c>
      <c r="I159" s="5">
        <f t="shared" si="91"/>
        <v>100</v>
      </c>
      <c r="J159" s="5">
        <f t="shared" si="91"/>
        <v>104.16666666666667</v>
      </c>
      <c r="K159" s="5">
        <f t="shared" si="91"/>
        <v>111.11111111111111</v>
      </c>
      <c r="L159" s="5">
        <f t="shared" si="91"/>
        <v>114.58333333333333</v>
      </c>
      <c r="M159" s="5">
        <f t="shared" si="91"/>
        <v>129.86111111111109</v>
      </c>
      <c r="N159" s="5">
        <f t="shared" si="91"/>
        <v>134.7222222222222</v>
      </c>
    </row>
    <row r="161" spans="1:28" x14ac:dyDescent="0.25">
      <c r="A161" s="6" t="s">
        <v>26</v>
      </c>
    </row>
    <row r="163" spans="1:28" x14ac:dyDescent="0.25">
      <c r="A163" s="9" t="s">
        <v>33</v>
      </c>
    </row>
    <row r="165" spans="1:28" ht="60" x14ac:dyDescent="0.25">
      <c r="A165" s="82" t="s">
        <v>12</v>
      </c>
      <c r="B165" s="82"/>
      <c r="C165" s="2">
        <v>2008</v>
      </c>
      <c r="D165" s="2">
        <v>2009</v>
      </c>
      <c r="E165" s="2">
        <v>2010</v>
      </c>
      <c r="F165" s="2">
        <v>2011</v>
      </c>
      <c r="G165" s="2">
        <v>2012</v>
      </c>
      <c r="H165" s="2">
        <v>2013</v>
      </c>
      <c r="I165" s="2">
        <v>2014</v>
      </c>
      <c r="J165" s="2">
        <v>2015</v>
      </c>
      <c r="K165" s="2">
        <v>2016</v>
      </c>
      <c r="L165" s="2">
        <v>2017</v>
      </c>
      <c r="M165" s="2">
        <v>2018</v>
      </c>
      <c r="N165" s="2">
        <v>2019</v>
      </c>
      <c r="O165" s="2" t="s">
        <v>89</v>
      </c>
      <c r="P165" s="2" t="s">
        <v>164</v>
      </c>
      <c r="Q165" s="2" t="s">
        <v>165</v>
      </c>
      <c r="R165" s="2" t="s">
        <v>166</v>
      </c>
      <c r="S165" s="2" t="s">
        <v>116</v>
      </c>
      <c r="T165" s="2" t="s">
        <v>117</v>
      </c>
      <c r="U165" s="2" t="s">
        <v>173</v>
      </c>
      <c r="V165" s="2" t="s">
        <v>118</v>
      </c>
      <c r="W165" s="2" t="s">
        <v>167</v>
      </c>
      <c r="X165" s="2" t="s">
        <v>125</v>
      </c>
      <c r="Y165" s="2" t="s">
        <v>172</v>
      </c>
      <c r="Z165" s="2" t="s">
        <v>128</v>
      </c>
      <c r="AA165" s="2" t="s">
        <v>130</v>
      </c>
      <c r="AB165" s="2" t="s">
        <v>131</v>
      </c>
    </row>
    <row r="166" spans="1:28" x14ac:dyDescent="0.25">
      <c r="A166" s="17" t="s">
        <v>13</v>
      </c>
      <c r="B166" s="15" t="s">
        <v>14</v>
      </c>
      <c r="C166" s="15">
        <v>1</v>
      </c>
      <c r="D166" s="15">
        <v>2</v>
      </c>
      <c r="E166" s="15">
        <v>3</v>
      </c>
      <c r="F166" s="15">
        <v>4</v>
      </c>
      <c r="G166" s="15">
        <v>5</v>
      </c>
      <c r="H166" s="15">
        <v>6</v>
      </c>
      <c r="I166" s="15">
        <v>7</v>
      </c>
      <c r="J166" s="15">
        <v>8</v>
      </c>
      <c r="K166" s="15">
        <v>9</v>
      </c>
      <c r="L166" s="15">
        <v>10</v>
      </c>
      <c r="M166" s="15">
        <v>11</v>
      </c>
      <c r="N166" s="15">
        <v>12</v>
      </c>
      <c r="O166" s="15">
        <v>13</v>
      </c>
      <c r="P166" s="15">
        <v>14</v>
      </c>
      <c r="Q166" s="15">
        <v>15</v>
      </c>
      <c r="R166" s="15">
        <v>16</v>
      </c>
      <c r="S166" s="15">
        <v>17</v>
      </c>
      <c r="T166" s="15">
        <v>18</v>
      </c>
      <c r="U166" s="15">
        <v>19</v>
      </c>
      <c r="V166" s="15">
        <v>20</v>
      </c>
      <c r="W166" s="15">
        <v>21</v>
      </c>
      <c r="X166" s="15">
        <v>23</v>
      </c>
      <c r="Y166" s="15">
        <v>24</v>
      </c>
      <c r="Z166" s="15">
        <v>25</v>
      </c>
      <c r="AA166" s="15">
        <v>26</v>
      </c>
      <c r="AB166" s="15">
        <v>27</v>
      </c>
    </row>
    <row r="167" spans="1:28" ht="34.5" x14ac:dyDescent="0.25">
      <c r="A167" s="13" t="s">
        <v>0</v>
      </c>
      <c r="B167" s="16">
        <v>1</v>
      </c>
      <c r="C167" s="5">
        <f t="shared" ref="C167:N167" si="92">(C6/C$5)*100</f>
        <v>89.316414244781001</v>
      </c>
      <c r="D167" s="5">
        <f t="shared" si="92"/>
        <v>88.893384584260559</v>
      </c>
      <c r="E167" s="5">
        <f t="shared" si="92"/>
        <v>89.212193190815512</v>
      </c>
      <c r="F167" s="5">
        <f t="shared" si="92"/>
        <v>88.756355103637077</v>
      </c>
      <c r="G167" s="5">
        <f t="shared" si="92"/>
        <v>88.86315383130669</v>
      </c>
      <c r="H167" s="5">
        <f t="shared" si="92"/>
        <v>88.727550630492942</v>
      </c>
      <c r="I167" s="5">
        <f t="shared" si="92"/>
        <v>88.173880030372061</v>
      </c>
      <c r="J167" s="5">
        <f t="shared" si="92"/>
        <v>86.992326408384812</v>
      </c>
      <c r="K167" s="5">
        <f t="shared" si="92"/>
        <v>86.249086924762594</v>
      </c>
      <c r="L167" s="5">
        <f t="shared" si="92"/>
        <v>85.698610095098772</v>
      </c>
      <c r="M167" s="5">
        <f t="shared" si="92"/>
        <v>85.197841726618705</v>
      </c>
      <c r="N167" s="5">
        <f t="shared" si="92"/>
        <v>84.729151817533861</v>
      </c>
      <c r="O167" s="5">
        <f>AVERAGE(C167:N167)</f>
        <v>87.567495715672052</v>
      </c>
      <c r="P167" s="42">
        <f>QUARTILE(C167:N167,4)</f>
        <v>89.316414244781001</v>
      </c>
      <c r="Q167" s="42">
        <f>QUARTILE(C167:N167, 0)</f>
        <v>84.729151817533861</v>
      </c>
      <c r="R167" s="42">
        <f>P167-Q167</f>
        <v>4.5872624272471398</v>
      </c>
      <c r="S167" s="42">
        <f>QUARTILE(C167:N167,1)</f>
        <v>86.111467717346642</v>
      </c>
      <c r="T167" s="42">
        <f>QUARTILE(C167:N167, 3)</f>
        <v>88.870711519545154</v>
      </c>
      <c r="U167" s="42">
        <f>QUARTILE(C167:N167, 2)</f>
        <v>88.450715330432502</v>
      </c>
      <c r="V167" s="42" t="s">
        <v>206</v>
      </c>
      <c r="W167" s="42">
        <f>SUM(M35:M46)/COUNTA(M35:M46)</f>
        <v>1.4950769343269161</v>
      </c>
      <c r="X167" s="42">
        <f>SUM(N35:N46)/COUNTA(N35:N46)</f>
        <v>2.6300403403533754</v>
      </c>
      <c r="Y167" s="42">
        <f>SQRT(X167)</f>
        <v>1.6217399114387534</v>
      </c>
      <c r="Z167" s="42">
        <f>R167/O167*100</f>
        <v>5.238544724565136</v>
      </c>
      <c r="AA167" s="42">
        <f>W167/O167*100</f>
        <v>1.7073423444486382</v>
      </c>
      <c r="AB167" s="42">
        <f>Y167/O167*100</f>
        <v>1.8519884555160446</v>
      </c>
    </row>
    <row r="168" spans="1:28" ht="34.5" x14ac:dyDescent="0.25">
      <c r="A168" s="14" t="s">
        <v>4</v>
      </c>
      <c r="B168" s="16">
        <v>2</v>
      </c>
      <c r="C168" s="5">
        <f t="shared" ref="C168:N168" si="93">(C7/C$5)*100</f>
        <v>8.2275890298812939</v>
      </c>
      <c r="D168" s="5">
        <f t="shared" si="93"/>
        <v>8.112482298199474</v>
      </c>
      <c r="E168" s="5">
        <f t="shared" si="93"/>
        <v>7.937450514647665</v>
      </c>
      <c r="F168" s="5">
        <f t="shared" si="93"/>
        <v>8.2909659757528349</v>
      </c>
      <c r="G168" s="5">
        <f t="shared" si="93"/>
        <v>8.396062536189925</v>
      </c>
      <c r="H168" s="5">
        <f t="shared" si="93"/>
        <v>8.6167367214367605</v>
      </c>
      <c r="I168" s="5">
        <f t="shared" si="93"/>
        <v>9.0926347760060757</v>
      </c>
      <c r="J168" s="5">
        <f t="shared" si="93"/>
        <v>10.218978102189782</v>
      </c>
      <c r="K168" s="5">
        <f t="shared" si="93"/>
        <v>10.8290723155588</v>
      </c>
      <c r="L168" s="5">
        <f t="shared" si="93"/>
        <v>11.283833211411851</v>
      </c>
      <c r="M168" s="5">
        <f t="shared" si="93"/>
        <v>11.420863309352518</v>
      </c>
      <c r="N168" s="5">
        <f t="shared" si="93"/>
        <v>11.796151104775481</v>
      </c>
      <c r="O168" s="5">
        <f>AVERAGE(C168:N168)</f>
        <v>9.5185683246168704</v>
      </c>
      <c r="P168" s="42">
        <f>QUARTILE(C168:N168,4)</f>
        <v>11.796151104775481</v>
      </c>
      <c r="Q168" s="42">
        <f>QUARTILE(C168:N168, 0)</f>
        <v>7.937450514647665</v>
      </c>
      <c r="R168" s="42">
        <f>P168-Q168</f>
        <v>3.8587005901278157</v>
      </c>
      <c r="S168" s="42">
        <f>QUARTILE(C168:N168,1)</f>
        <v>8.2751217392849501</v>
      </c>
      <c r="T168" s="42">
        <f>QUARTILE(C168:N168, 3)</f>
        <v>10.942762539522063</v>
      </c>
      <c r="U168" s="42">
        <f>QUARTILE(C168:N168, 2)</f>
        <v>8.854685748721419</v>
      </c>
      <c r="V168" s="42" t="s">
        <v>207</v>
      </c>
      <c r="W168" s="42">
        <f>SUM(M55:M66)/COUNTA(M55:M66)</f>
        <v>1.3260094033673453</v>
      </c>
      <c r="X168" s="42">
        <f>SUM(N55:N66)/COUNTA(N55:N66)</f>
        <v>2.0029707999341926</v>
      </c>
      <c r="Y168" s="42">
        <f t="shared" ref="Y168" si="94">SQRT(X168)</f>
        <v>1.4152635090096093</v>
      </c>
      <c r="Z168" s="42">
        <f>R168/O168*100</f>
        <v>40.538665674631602</v>
      </c>
      <c r="AA168" s="42">
        <f>W168/O168*100</f>
        <v>13.930765196463705</v>
      </c>
      <c r="AB168" s="42">
        <f>Y168/O168*100</f>
        <v>14.868449337590636</v>
      </c>
    </row>
    <row r="169" spans="1:28" ht="19.5" x14ac:dyDescent="0.25">
      <c r="A169" s="13" t="s">
        <v>1</v>
      </c>
      <c r="B169" s="16">
        <v>3</v>
      </c>
      <c r="C169" s="5">
        <f t="shared" ref="C169:N169" si="95">(C8/C$5)*100</f>
        <v>2.4559967253376995</v>
      </c>
      <c r="D169" s="5">
        <f t="shared" si="95"/>
        <v>2.9941331175399553</v>
      </c>
      <c r="E169" s="5">
        <f t="shared" si="95"/>
        <v>2.8503562945368173</v>
      </c>
      <c r="F169" s="5">
        <f t="shared" si="95"/>
        <v>2.9526789206100901</v>
      </c>
      <c r="G169" s="5">
        <f t="shared" si="95"/>
        <v>2.7214823393167342</v>
      </c>
      <c r="H169" s="5">
        <f t="shared" si="95"/>
        <v>2.6748184944593048</v>
      </c>
      <c r="I169" s="5">
        <f t="shared" si="95"/>
        <v>2.7334851936218683</v>
      </c>
      <c r="J169" s="5">
        <f t="shared" si="95"/>
        <v>2.8074115665356545</v>
      </c>
      <c r="K169" s="5">
        <f t="shared" si="95"/>
        <v>2.9218407596785974</v>
      </c>
      <c r="L169" s="5">
        <f t="shared" si="95"/>
        <v>3.0175566934893929</v>
      </c>
      <c r="M169" s="5">
        <f t="shared" si="95"/>
        <v>3.3633093525179856</v>
      </c>
      <c r="N169" s="5">
        <f t="shared" si="95"/>
        <v>3.4568781183178894</v>
      </c>
      <c r="O169" s="5">
        <f>AVERAGE(C169:N169)</f>
        <v>2.9124956313301662</v>
      </c>
      <c r="P169" s="42">
        <f>QUARTILE(C169:N169,4)</f>
        <v>3.4568781183178894</v>
      </c>
      <c r="Q169" s="42">
        <f>QUARTILE(C169:N169, 0)</f>
        <v>2.4559967253376995</v>
      </c>
      <c r="R169" s="42">
        <f>P169-Q169</f>
        <v>1.0008813929801899</v>
      </c>
      <c r="S169" s="42">
        <f>QUARTILE(C169:N169,1)</f>
        <v>2.7304844800455847</v>
      </c>
      <c r="T169" s="42">
        <f>QUARTILE(C169:N169, 3)</f>
        <v>2.9999890115273145</v>
      </c>
      <c r="U169" s="42">
        <f>QUARTILE(C169:N169, 2)</f>
        <v>2.8860985271077073</v>
      </c>
      <c r="V169" s="42" t="s">
        <v>208</v>
      </c>
      <c r="W169" s="42">
        <f>SUM(M75:M86)/COUNTA(M75:M86)</f>
        <v>0.20523719569548601</v>
      </c>
      <c r="X169" s="42">
        <f>SUM(N75:N86)/COUNTA(N75:N86)</f>
        <v>7.2275523533054775E-2</v>
      </c>
      <c r="Y169" s="42">
        <f t="shared" ref="Y169" si="96">SQRT(X169)</f>
        <v>0.26884107486218467</v>
      </c>
      <c r="Z169" s="42">
        <f>R169/O169*100</f>
        <v>34.365077915089515</v>
      </c>
      <c r="AA169" s="42">
        <f>W169/O169*100</f>
        <v>7.0467812376340673</v>
      </c>
      <c r="AB169" s="42">
        <f>Y169/O169*100</f>
        <v>9.2306086907125167</v>
      </c>
    </row>
    <row r="171" spans="1:28" x14ac:dyDescent="0.25">
      <c r="A171" s="6" t="s">
        <v>26</v>
      </c>
    </row>
    <row r="173" spans="1:28" x14ac:dyDescent="0.25">
      <c r="A173" s="9" t="s">
        <v>78</v>
      </c>
    </row>
    <row r="175" spans="1:28" x14ac:dyDescent="0.25">
      <c r="A175" s="82" t="s">
        <v>12</v>
      </c>
      <c r="B175" s="82"/>
      <c r="C175" s="2">
        <v>2008</v>
      </c>
      <c r="D175" s="2">
        <v>2009</v>
      </c>
      <c r="E175" s="2">
        <v>2010</v>
      </c>
      <c r="F175" s="2">
        <v>2011</v>
      </c>
      <c r="G175" s="2">
        <v>2012</v>
      </c>
      <c r="H175" s="2">
        <v>2013</v>
      </c>
      <c r="I175" s="2">
        <v>2014</v>
      </c>
      <c r="J175" s="2">
        <v>2015</v>
      </c>
      <c r="K175" s="2">
        <v>2016</v>
      </c>
      <c r="L175" s="2">
        <v>2017</v>
      </c>
      <c r="M175" s="2">
        <v>2018</v>
      </c>
      <c r="N175" s="2">
        <v>2019</v>
      </c>
    </row>
    <row r="176" spans="1:28" x14ac:dyDescent="0.25">
      <c r="A176" s="17" t="s">
        <v>13</v>
      </c>
      <c r="B176" s="15" t="s">
        <v>14</v>
      </c>
      <c r="C176" s="15">
        <v>1</v>
      </c>
      <c r="D176" s="15">
        <v>2</v>
      </c>
      <c r="E176" s="15">
        <v>3</v>
      </c>
      <c r="F176" s="15">
        <v>4</v>
      </c>
      <c r="G176" s="15">
        <v>5</v>
      </c>
      <c r="H176" s="15">
        <v>6</v>
      </c>
      <c r="I176" s="15">
        <v>7</v>
      </c>
      <c r="J176" s="15">
        <v>8</v>
      </c>
      <c r="K176" s="15">
        <v>9</v>
      </c>
      <c r="L176" s="15">
        <v>10</v>
      </c>
      <c r="M176" s="15">
        <v>11</v>
      </c>
      <c r="N176" s="15">
        <v>12</v>
      </c>
    </row>
    <row r="177" spans="1:14" x14ac:dyDescent="0.25">
      <c r="A177" s="37" t="s">
        <v>4</v>
      </c>
      <c r="B177" s="16">
        <v>3</v>
      </c>
      <c r="C177" s="5">
        <f t="shared" ref="C177:N177" si="97">(C7/C$6)*100</f>
        <v>9.2117323556370305</v>
      </c>
      <c r="D177" s="5">
        <f t="shared" si="97"/>
        <v>9.1260810195721458</v>
      </c>
      <c r="E177" s="5">
        <f t="shared" si="97"/>
        <v>8.8972709119147986</v>
      </c>
      <c r="F177" s="5">
        <f t="shared" si="97"/>
        <v>9.3412645957259315</v>
      </c>
      <c r="G177" s="5">
        <f t="shared" si="97"/>
        <v>9.4483058210251958</v>
      </c>
      <c r="H177" s="5">
        <f t="shared" si="97"/>
        <v>9.7114556416882003</v>
      </c>
      <c r="I177" s="5">
        <f t="shared" si="97"/>
        <v>10.312163616792249</v>
      </c>
      <c r="J177" s="5">
        <f t="shared" si="97"/>
        <v>11.746987951807229</v>
      </c>
      <c r="K177" s="5">
        <f t="shared" si="97"/>
        <v>12.555579081092525</v>
      </c>
      <c r="L177" s="5">
        <f t="shared" si="97"/>
        <v>13.166880068288519</v>
      </c>
      <c r="M177" s="5">
        <f t="shared" si="97"/>
        <v>13.405108718598269</v>
      </c>
      <c r="N177" s="5">
        <f t="shared" si="97"/>
        <v>13.922187171398528</v>
      </c>
    </row>
    <row r="178" spans="1:14" x14ac:dyDescent="0.25">
      <c r="A178" s="37" t="s">
        <v>1</v>
      </c>
      <c r="B178" s="16">
        <v>4</v>
      </c>
      <c r="C178" s="5">
        <f t="shared" ref="C178:N178" si="98">(C8/C$6)*100</f>
        <v>2.7497708524289646</v>
      </c>
      <c r="D178" s="5">
        <f t="shared" si="98"/>
        <v>3.3682294037323626</v>
      </c>
      <c r="E178" s="5">
        <f t="shared" si="98"/>
        <v>3.1950299534058133</v>
      </c>
      <c r="F178" s="5">
        <f t="shared" si="98"/>
        <v>3.326723948006169</v>
      </c>
      <c r="G178" s="5">
        <f t="shared" si="98"/>
        <v>3.0625543006081668</v>
      </c>
      <c r="H178" s="5">
        <f t="shared" si="98"/>
        <v>3.0146425495262705</v>
      </c>
      <c r="I178" s="5">
        <f t="shared" si="98"/>
        <v>3.10010764262648</v>
      </c>
      <c r="J178" s="5">
        <f t="shared" si="98"/>
        <v>3.2271944922547333</v>
      </c>
      <c r="K178" s="5">
        <f t="shared" si="98"/>
        <v>3.387677323734914</v>
      </c>
      <c r="L178" s="5">
        <f t="shared" si="98"/>
        <v>3.5211267605633805</v>
      </c>
      <c r="M178" s="5">
        <f t="shared" si="98"/>
        <v>3.9476461895714592</v>
      </c>
      <c r="N178" s="5">
        <f t="shared" si="98"/>
        <v>4.079915878023133</v>
      </c>
    </row>
    <row r="180" spans="1:14" x14ac:dyDescent="0.25">
      <c r="A180" s="6" t="s">
        <v>26</v>
      </c>
    </row>
  </sheetData>
  <mergeCells count="13">
    <mergeCell ref="A175:B175"/>
    <mergeCell ref="A3:B3"/>
    <mergeCell ref="A97:B97"/>
    <mergeCell ref="A112:B112"/>
    <mergeCell ref="A123:B123"/>
    <mergeCell ref="A134:B134"/>
    <mergeCell ref="A13:B13"/>
    <mergeCell ref="A73:B73"/>
    <mergeCell ref="A33:B33"/>
    <mergeCell ref="A53:B53"/>
    <mergeCell ref="A143:B143"/>
    <mergeCell ref="A154:B154"/>
    <mergeCell ref="A165:B165"/>
  </mergeCells>
  <phoneticPr fontId="16" type="noConversion"/>
  <conditionalFormatting sqref="C5:N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N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N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N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6:N1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N1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:N1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N1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6"/>
  <sheetViews>
    <sheetView topLeftCell="C122" zoomScaleNormal="100" workbookViewId="0">
      <selection activeCell="O139" sqref="O139"/>
    </sheetView>
  </sheetViews>
  <sheetFormatPr defaultColWidth="11" defaultRowHeight="15.75" x14ac:dyDescent="0.25"/>
  <cols>
    <col min="1" max="1" width="53.625" customWidth="1"/>
    <col min="2" max="10" width="13.5" customWidth="1"/>
    <col min="11" max="11" width="17.125" customWidth="1"/>
    <col min="12" max="14" width="13.5" customWidth="1"/>
    <col min="15" max="15" width="14.75" customWidth="1"/>
    <col min="21" max="21" width="21" customWidth="1"/>
    <col min="22" max="22" width="18.75" customWidth="1"/>
    <col min="23" max="23" width="16.625" customWidth="1"/>
    <col min="25" max="25" width="26" customWidth="1"/>
    <col min="26" max="26" width="16.75" customWidth="1"/>
    <col min="27" max="27" width="18.75" customWidth="1"/>
  </cols>
  <sheetData>
    <row r="1" spans="1:28" x14ac:dyDescent="0.25">
      <c r="A1" s="9" t="s">
        <v>16</v>
      </c>
    </row>
    <row r="3" spans="1:28" ht="75" x14ac:dyDescent="0.25">
      <c r="A3" s="82" t="s">
        <v>12</v>
      </c>
      <c r="B3" s="82"/>
      <c r="C3" s="2">
        <v>2008</v>
      </c>
      <c r="D3" s="2">
        <v>2009</v>
      </c>
      <c r="E3" s="2">
        <v>2010</v>
      </c>
      <c r="F3" s="2">
        <v>2011</v>
      </c>
      <c r="G3" s="2">
        <v>2012</v>
      </c>
      <c r="H3" s="2">
        <v>2013</v>
      </c>
      <c r="I3" s="2">
        <v>2014</v>
      </c>
      <c r="J3" s="2">
        <v>2015</v>
      </c>
      <c r="K3" s="2">
        <v>2016</v>
      </c>
      <c r="L3" s="2">
        <v>2017</v>
      </c>
      <c r="M3" s="2">
        <v>2018</v>
      </c>
      <c r="N3" s="2">
        <v>2019</v>
      </c>
      <c r="O3" s="2" t="s">
        <v>90</v>
      </c>
      <c r="P3" s="2" t="s">
        <v>164</v>
      </c>
      <c r="Q3" s="2" t="s">
        <v>165</v>
      </c>
      <c r="R3" s="2" t="s">
        <v>166</v>
      </c>
      <c r="S3" s="2" t="s">
        <v>116</v>
      </c>
      <c r="T3" s="2" t="s">
        <v>117</v>
      </c>
      <c r="U3" s="2" t="s">
        <v>209</v>
      </c>
      <c r="V3" s="2" t="s">
        <v>118</v>
      </c>
      <c r="W3" s="2" t="s">
        <v>167</v>
      </c>
      <c r="X3" s="2" t="s">
        <v>125</v>
      </c>
      <c r="Y3" s="2" t="s">
        <v>172</v>
      </c>
      <c r="Z3" s="2" t="s">
        <v>128</v>
      </c>
      <c r="AA3" s="2" t="s">
        <v>130</v>
      </c>
      <c r="AB3" s="2" t="s">
        <v>131</v>
      </c>
    </row>
    <row r="4" spans="1:28" x14ac:dyDescent="0.25">
      <c r="A4" s="17" t="s">
        <v>13</v>
      </c>
      <c r="B4" s="15" t="s">
        <v>14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  <c r="I4" s="15">
        <v>7</v>
      </c>
      <c r="J4" s="15">
        <v>8</v>
      </c>
      <c r="K4" s="15">
        <v>9</v>
      </c>
      <c r="L4" s="15">
        <v>10</v>
      </c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23</v>
      </c>
      <c r="Y4" s="15">
        <v>24</v>
      </c>
      <c r="Z4" s="15">
        <v>25</v>
      </c>
      <c r="AA4" s="15">
        <v>26</v>
      </c>
      <c r="AB4" s="15">
        <v>27</v>
      </c>
    </row>
    <row r="5" spans="1:28" ht="34.5" x14ac:dyDescent="0.25">
      <c r="A5" s="39" t="s">
        <v>82</v>
      </c>
      <c r="B5" s="16">
        <v>1</v>
      </c>
      <c r="C5" s="5">
        <f>'1.1'!C5</f>
        <v>488.6</v>
      </c>
      <c r="D5" s="5">
        <f>'1.1'!D5</f>
        <v>494.3</v>
      </c>
      <c r="E5" s="5">
        <f>'1.1'!E5</f>
        <v>505.2</v>
      </c>
      <c r="F5" s="5">
        <f>'1.1'!F5</f>
        <v>511.4</v>
      </c>
      <c r="G5" s="5">
        <f>'1.1'!G5</f>
        <v>518.1</v>
      </c>
      <c r="H5" s="5">
        <f>'1.1'!H5</f>
        <v>523.4</v>
      </c>
      <c r="I5" s="5">
        <f>'1.1'!I5</f>
        <v>526.79999999999995</v>
      </c>
      <c r="J5" s="5">
        <f>'1.1'!J5</f>
        <v>534.29999999999995</v>
      </c>
      <c r="K5" s="5">
        <f>'1.1'!K5</f>
        <v>547.6</v>
      </c>
      <c r="L5" s="5">
        <f>'1.1'!L5</f>
        <v>546.79999999999995</v>
      </c>
      <c r="M5" s="5">
        <f>'1.1'!M5</f>
        <v>556</v>
      </c>
      <c r="N5" s="5">
        <f>'1.1'!N5</f>
        <v>561.20000000000005</v>
      </c>
      <c r="O5" s="5">
        <f>AVERAGE(C5:N5)</f>
        <v>526.14166666666677</v>
      </c>
      <c r="P5" s="42">
        <f>QUARTILE(C5:N5,4)</f>
        <v>561.20000000000005</v>
      </c>
      <c r="Q5" s="42">
        <f>QUARTILE(C5:N5, 0)</f>
        <v>488.6</v>
      </c>
      <c r="R5" s="42">
        <f>P5-Q5</f>
        <v>72.600000000000023</v>
      </c>
      <c r="S5" s="42">
        <f>QUARTILE(C5:N5,1)</f>
        <v>509.84999999999997</v>
      </c>
      <c r="T5" s="42">
        <f>QUARTILE(C5:N5, 3)</f>
        <v>547</v>
      </c>
      <c r="U5" s="42">
        <f>QUARTILE(C5:N5, 2)</f>
        <v>525.09999999999991</v>
      </c>
      <c r="V5" s="42" t="s">
        <v>210</v>
      </c>
      <c r="W5" s="42">
        <f>SUM(E16:E27)/COUNTA(E16:E27)</f>
        <v>19.308333333333326</v>
      </c>
      <c r="X5" s="42">
        <f>SUM(F16:F27)/COUNTA(F16:F27)</f>
        <v>518.84576388888888</v>
      </c>
      <c r="Y5" s="42">
        <f>SQRT(X5)</f>
        <v>22.778186141325847</v>
      </c>
      <c r="Z5" s="42">
        <f>R5/O5*100</f>
        <v>13.798565025262526</v>
      </c>
      <c r="AA5" s="42">
        <f>W5/O5*100</f>
        <v>3.6697974246479861</v>
      </c>
      <c r="AB5" s="42">
        <f>Y5/O5*100</f>
        <v>4.3292876395126489</v>
      </c>
    </row>
    <row r="6" spans="1:28" ht="34.5" x14ac:dyDescent="0.25">
      <c r="A6" s="13" t="s">
        <v>17</v>
      </c>
      <c r="B6" s="16">
        <v>2</v>
      </c>
      <c r="C6" s="86" t="s">
        <v>20</v>
      </c>
      <c r="D6" s="87"/>
      <c r="E6" s="87"/>
      <c r="F6" s="87"/>
      <c r="G6" s="87"/>
      <c r="H6" s="88"/>
      <c r="I6" s="5">
        <v>155</v>
      </c>
      <c r="J6" s="5">
        <v>159</v>
      </c>
      <c r="K6" s="5">
        <v>163.30000000000001</v>
      </c>
      <c r="L6" s="5">
        <v>163.30000000000001</v>
      </c>
      <c r="M6" s="5">
        <v>164.4</v>
      </c>
      <c r="N6" s="5">
        <v>165.7</v>
      </c>
      <c r="O6" s="5">
        <f>AVERAGE(I6:N6)</f>
        <v>161.78333333333333</v>
      </c>
      <c r="P6" s="42">
        <f>QUARTILE(C6:N6,4)</f>
        <v>165.7</v>
      </c>
      <c r="Q6" s="42">
        <f>QUARTILE(C6:N6, 0)</f>
        <v>155</v>
      </c>
      <c r="R6" s="42">
        <f>P6-Q6</f>
        <v>10.699999999999989</v>
      </c>
      <c r="S6" s="42">
        <f>QUARTILE(C6:N6,1)</f>
        <v>160.07499999999999</v>
      </c>
      <c r="T6" s="42">
        <f>QUARTILE(C6:N6, 3)</f>
        <v>164.125</v>
      </c>
      <c r="U6" s="42">
        <f>QUARTILE(C6:N6, 2)</f>
        <v>163.30000000000001</v>
      </c>
      <c r="V6" s="42" t="s">
        <v>211</v>
      </c>
      <c r="W6" s="42">
        <f>SUM(E43:E48)/COUNTA(E43:E48)</f>
        <v>3.1888888888888922</v>
      </c>
      <c r="X6" s="42">
        <f>SUM(F43:F48)/COUNTA(F43:F48)</f>
        <v>13.424722222222222</v>
      </c>
      <c r="Y6" s="42">
        <f t="shared" ref="Y6" si="0">SQRT(X6)</f>
        <v>3.6639762857068576</v>
      </c>
      <c r="Z6" s="42">
        <f t="shared" ref="Z6" si="1">R6/O6*100</f>
        <v>6.6137838673122422</v>
      </c>
      <c r="AA6" s="42">
        <f t="shared" ref="AA6" si="2">W6/O6*100</f>
        <v>1.9710861577555736</v>
      </c>
      <c r="AB6" s="42">
        <f t="shared" ref="AB6" si="3">Y6/O6*100</f>
        <v>2.2647427335161376</v>
      </c>
    </row>
    <row r="7" spans="1:28" ht="34.5" x14ac:dyDescent="0.25">
      <c r="A7" s="13" t="s">
        <v>18</v>
      </c>
      <c r="B7" s="16">
        <v>3</v>
      </c>
      <c r="C7" s="89"/>
      <c r="D7" s="90"/>
      <c r="E7" s="90"/>
      <c r="F7" s="90"/>
      <c r="G7" s="90"/>
      <c r="H7" s="91"/>
      <c r="I7" s="5">
        <v>313</v>
      </c>
      <c r="J7" s="5">
        <v>311.8</v>
      </c>
      <c r="K7" s="5">
        <v>315.5</v>
      </c>
      <c r="L7" s="5">
        <v>313.60000000000002</v>
      </c>
      <c r="M7" s="5">
        <v>316.89999999999998</v>
      </c>
      <c r="N7" s="5">
        <v>319.5</v>
      </c>
      <c r="O7" s="5">
        <f t="shared" ref="O7:O8" si="4">AVERAGE(I7:N7)</f>
        <v>315.05</v>
      </c>
      <c r="P7" s="42">
        <f>QUARTILE(C7:N7,4)</f>
        <v>319.5</v>
      </c>
      <c r="Q7" s="42">
        <f>QUARTILE(C7:N7, 0)</f>
        <v>311.8</v>
      </c>
      <c r="R7" s="42">
        <f>P7-Q7</f>
        <v>7.6999999999999886</v>
      </c>
      <c r="S7" s="42">
        <f>QUARTILE(C7:N7,1)</f>
        <v>313.14999999999998</v>
      </c>
      <c r="T7" s="42">
        <f>QUARTILE(C7:N7, 3)</f>
        <v>316.54999999999995</v>
      </c>
      <c r="U7" s="42">
        <f>QUARTILE(C7:N7, 2)</f>
        <v>314.55</v>
      </c>
      <c r="V7" s="42" t="s">
        <v>212</v>
      </c>
      <c r="W7" s="42">
        <f>SUM(E64:E69)/COUNTA(E64:E69)</f>
        <v>2.2499999999999907</v>
      </c>
      <c r="X7" s="42">
        <f>SUM(F64:F69)/COUNTA(F64:F69)</f>
        <v>6.715833333333296</v>
      </c>
      <c r="Y7" s="42">
        <f>SQRT(X7)</f>
        <v>2.5914924914676671</v>
      </c>
      <c r="Z7" s="42">
        <f>R7/O7*100</f>
        <v>2.4440564989684144</v>
      </c>
      <c r="AA7" s="42">
        <f>W7/O7*100</f>
        <v>0.71417235359466458</v>
      </c>
      <c r="AB7" s="42">
        <f>Y7/O7*100</f>
        <v>0.82256546309083223</v>
      </c>
    </row>
    <row r="8" spans="1:28" ht="34.5" x14ac:dyDescent="0.25">
      <c r="A8" s="13" t="s">
        <v>19</v>
      </c>
      <c r="B8" s="16">
        <v>4</v>
      </c>
      <c r="C8" s="92"/>
      <c r="D8" s="93"/>
      <c r="E8" s="93"/>
      <c r="F8" s="93"/>
      <c r="G8" s="93"/>
      <c r="H8" s="94"/>
      <c r="I8" s="5">
        <v>58.8</v>
      </c>
      <c r="J8" s="5">
        <v>63.6</v>
      </c>
      <c r="K8" s="5">
        <v>68.7</v>
      </c>
      <c r="L8" s="5">
        <v>69.900000000000006</v>
      </c>
      <c r="M8" s="5">
        <v>74.599999999999994</v>
      </c>
      <c r="N8" s="5">
        <v>76</v>
      </c>
      <c r="O8" s="5">
        <f t="shared" si="4"/>
        <v>68.600000000000009</v>
      </c>
      <c r="P8" s="42">
        <f>QUARTILE(C8:N8,4)</f>
        <v>76</v>
      </c>
      <c r="Q8" s="42">
        <f>QUARTILE(C8:N8, 0)</f>
        <v>58.8</v>
      </c>
      <c r="R8" s="42">
        <f>P8-Q8</f>
        <v>17.200000000000003</v>
      </c>
      <c r="S8" s="42">
        <f>QUARTILE(C8:N8,1)</f>
        <v>64.875</v>
      </c>
      <c r="T8" s="42">
        <f>QUARTILE(C8:N8, 3)</f>
        <v>73.424999999999997</v>
      </c>
      <c r="U8" s="42">
        <f>QUARTILE(C8:N8, 2)</f>
        <v>69.300000000000011</v>
      </c>
      <c r="V8" s="42" t="s">
        <v>213</v>
      </c>
      <c r="W8" s="42">
        <f>SUM(E85:E90)/COUNTA(E85:E90)</f>
        <v>4.9333333333333309</v>
      </c>
      <c r="X8" s="42">
        <f>SUM(F85:F90)/COUNTA(F85:F90)</f>
        <v>35.583333333333336</v>
      </c>
      <c r="Y8" s="42">
        <f>SQRT(X8)</f>
        <v>5.9651767227244274</v>
      </c>
      <c r="Z8" s="42">
        <f>R8/O8*100</f>
        <v>25.072886297376094</v>
      </c>
      <c r="AA8" s="42">
        <f>W8/O8*100</f>
        <v>7.1914480077745342</v>
      </c>
      <c r="AB8" s="42">
        <f>Y8/O8*100</f>
        <v>8.6955928902688449</v>
      </c>
    </row>
    <row r="10" spans="1:28" x14ac:dyDescent="0.25">
      <c r="A10" s="6" t="s">
        <v>8</v>
      </c>
    </row>
    <row r="11" spans="1:28" x14ac:dyDescent="0.25">
      <c r="A11" s="6"/>
    </row>
    <row r="12" spans="1:28" x14ac:dyDescent="0.25">
      <c r="A12" s="62" t="s">
        <v>175</v>
      </c>
    </row>
    <row r="13" spans="1:28" x14ac:dyDescent="0.25">
      <c r="A13" s="6"/>
    </row>
    <row r="14" spans="1:28" ht="45" x14ac:dyDescent="0.25">
      <c r="A14" s="83" t="s">
        <v>12</v>
      </c>
      <c r="B14" s="84"/>
      <c r="C14" s="2" t="s">
        <v>121</v>
      </c>
      <c r="D14" s="2" t="s">
        <v>119</v>
      </c>
      <c r="E14" s="2" t="s">
        <v>120</v>
      </c>
      <c r="F14" s="2" t="s">
        <v>124</v>
      </c>
      <c r="G14" s="2" t="s">
        <v>168</v>
      </c>
      <c r="H14" s="2" t="s">
        <v>169</v>
      </c>
      <c r="I14" s="2" t="s">
        <v>170</v>
      </c>
      <c r="J14" s="2" t="s">
        <v>171</v>
      </c>
    </row>
    <row r="15" spans="1:28" x14ac:dyDescent="0.25">
      <c r="A15" s="16" t="s">
        <v>13</v>
      </c>
      <c r="B15" s="15" t="s">
        <v>14</v>
      </c>
      <c r="C15" s="16" t="s">
        <v>143</v>
      </c>
      <c r="D15" s="16">
        <v>1</v>
      </c>
      <c r="E15" s="16">
        <v>2</v>
      </c>
      <c r="F15" s="16">
        <v>3</v>
      </c>
      <c r="G15" s="16">
        <v>4</v>
      </c>
      <c r="H15" s="16">
        <v>5</v>
      </c>
      <c r="I15" s="16">
        <v>6</v>
      </c>
      <c r="J15" s="16">
        <v>7</v>
      </c>
    </row>
    <row r="16" spans="1:28" x14ac:dyDescent="0.25">
      <c r="A16" s="54">
        <v>2008</v>
      </c>
      <c r="B16" s="16">
        <v>1</v>
      </c>
      <c r="C16" s="5">
        <f t="array" ref="C16:C27">TRANSPOSE(C5:N5)</f>
        <v>488.6</v>
      </c>
      <c r="D16" s="5">
        <f t="shared" ref="D16:D27" si="5">C16-$C$28</f>
        <v>-37.541666666666742</v>
      </c>
      <c r="E16" s="5">
        <f>ABS(D16)</f>
        <v>37.541666666666742</v>
      </c>
      <c r="F16" s="5">
        <f>POWER(E16,2)</f>
        <v>1409.3767361111168</v>
      </c>
      <c r="G16" s="5" t="s">
        <v>79</v>
      </c>
      <c r="H16" s="5" t="s">
        <v>79</v>
      </c>
      <c r="I16" s="5" t="s">
        <v>79</v>
      </c>
      <c r="J16" s="5" t="s">
        <v>79</v>
      </c>
    </row>
    <row r="17" spans="1:10" x14ac:dyDescent="0.25">
      <c r="A17" s="54">
        <v>2009</v>
      </c>
      <c r="B17" s="16">
        <v>2</v>
      </c>
      <c r="C17" s="5">
        <v>494.3</v>
      </c>
      <c r="D17" s="5">
        <f t="shared" si="5"/>
        <v>-31.841666666666754</v>
      </c>
      <c r="E17" s="5">
        <f t="shared" ref="E17:E27" si="6">ABS(D17)</f>
        <v>31.841666666666754</v>
      </c>
      <c r="F17" s="5">
        <f t="shared" ref="F17:F27" si="7">POWER(E17,2)</f>
        <v>1013.8917361111166</v>
      </c>
      <c r="G17" s="5">
        <f>C17/C16*100</f>
        <v>101.1665984445354</v>
      </c>
      <c r="H17" s="5">
        <f>G17-$G$28</f>
        <v>-0.10075793190279114</v>
      </c>
      <c r="I17" s="5">
        <f>ABS(H17:H27)</f>
        <v>0.10075793190279114</v>
      </c>
      <c r="J17" s="5">
        <f>POWER(I17, 2)</f>
        <v>1.0152160841327498E-2</v>
      </c>
    </row>
    <row r="18" spans="1:10" x14ac:dyDescent="0.25">
      <c r="A18" s="54">
        <v>2010</v>
      </c>
      <c r="B18" s="16">
        <v>3</v>
      </c>
      <c r="C18" s="5">
        <v>505.2</v>
      </c>
      <c r="D18" s="5">
        <f t="shared" si="5"/>
        <v>-20.941666666666777</v>
      </c>
      <c r="E18" s="5">
        <f t="shared" si="6"/>
        <v>20.941666666666777</v>
      </c>
      <c r="F18" s="5">
        <f t="shared" si="7"/>
        <v>438.55340277778237</v>
      </c>
      <c r="G18" s="5">
        <f t="shared" ref="G18:G27" si="8">C18/C17*100</f>
        <v>102.20513857980981</v>
      </c>
      <c r="H18" s="5">
        <f t="shared" ref="H18:H27" si="9">G18-$G$28</f>
        <v>0.93778220337162566</v>
      </c>
      <c r="I18" s="5">
        <f t="shared" ref="I18:I27" si="10">ABS(H18:H28)</f>
        <v>0.93778220337162566</v>
      </c>
      <c r="J18" s="5">
        <f t="shared" ref="J18:J27" si="11">POWER(I18, 2)</f>
        <v>0.87943546096054104</v>
      </c>
    </row>
    <row r="19" spans="1:10" x14ac:dyDescent="0.25">
      <c r="A19" s="54">
        <v>2011</v>
      </c>
      <c r="B19" s="16">
        <v>4</v>
      </c>
      <c r="C19" s="5">
        <v>511.4</v>
      </c>
      <c r="D19" s="5">
        <f t="shared" si="5"/>
        <v>-14.741666666666788</v>
      </c>
      <c r="E19" s="5">
        <f t="shared" si="6"/>
        <v>14.741666666666788</v>
      </c>
      <c r="F19" s="5">
        <f t="shared" si="7"/>
        <v>217.31673611111469</v>
      </c>
      <c r="G19" s="5">
        <f t="shared" si="8"/>
        <v>101.22723673792558</v>
      </c>
      <c r="H19" s="5">
        <f t="shared" si="9"/>
        <v>-4.0119638512607025E-2</v>
      </c>
      <c r="I19" s="5">
        <f t="shared" si="10"/>
        <v>4.0119638512607025E-2</v>
      </c>
      <c r="J19" s="5">
        <f t="shared" si="11"/>
        <v>1.6095853943822608E-3</v>
      </c>
    </row>
    <row r="20" spans="1:10" x14ac:dyDescent="0.25">
      <c r="A20" s="54">
        <v>2012</v>
      </c>
      <c r="B20" s="16">
        <v>5</v>
      </c>
      <c r="C20" s="5">
        <v>518.1</v>
      </c>
      <c r="D20" s="5">
        <f t="shared" si="5"/>
        <v>-8.0416666666667425</v>
      </c>
      <c r="E20" s="5">
        <f t="shared" si="6"/>
        <v>8.0416666666667425</v>
      </c>
      <c r="F20" s="5">
        <f t="shared" si="7"/>
        <v>64.668402777778994</v>
      </c>
      <c r="G20" s="5">
        <f t="shared" si="8"/>
        <v>101.31012905748926</v>
      </c>
      <c r="H20" s="5">
        <f t="shared" si="9"/>
        <v>4.2772681051076233E-2</v>
      </c>
      <c r="I20" s="5">
        <f t="shared" si="10"/>
        <v>4.2772681051076233E-2</v>
      </c>
      <c r="J20" s="5">
        <f t="shared" si="11"/>
        <v>1.8295022442970958E-3</v>
      </c>
    </row>
    <row r="21" spans="1:10" x14ac:dyDescent="0.25">
      <c r="A21" s="54">
        <v>2013</v>
      </c>
      <c r="B21" s="16">
        <v>6</v>
      </c>
      <c r="C21" s="5">
        <v>523.4</v>
      </c>
      <c r="D21" s="5">
        <f t="shared" si="5"/>
        <v>-2.7416666666667879</v>
      </c>
      <c r="E21" s="5">
        <f t="shared" si="6"/>
        <v>2.7416666666667879</v>
      </c>
      <c r="F21" s="5">
        <f t="shared" si="7"/>
        <v>7.5167361111117756</v>
      </c>
      <c r="G21" s="5">
        <f t="shared" si="8"/>
        <v>101.0229685388921</v>
      </c>
      <c r="H21" s="5">
        <f t="shared" si="9"/>
        <v>-0.24438783754608551</v>
      </c>
      <c r="I21" s="5">
        <f t="shared" si="10"/>
        <v>0.24438783754608551</v>
      </c>
      <c r="J21" s="5">
        <f t="shared" si="11"/>
        <v>5.9725415140451883E-2</v>
      </c>
    </row>
    <row r="22" spans="1:10" x14ac:dyDescent="0.25">
      <c r="A22" s="54">
        <v>2014</v>
      </c>
      <c r="B22" s="16">
        <v>7</v>
      </c>
      <c r="C22" s="5">
        <v>526.79999999999995</v>
      </c>
      <c r="D22" s="5">
        <f t="shared" si="5"/>
        <v>0.65833333333318933</v>
      </c>
      <c r="E22" s="5">
        <f t="shared" si="6"/>
        <v>0.65833333333318933</v>
      </c>
      <c r="F22" s="5">
        <f t="shared" si="7"/>
        <v>0.43340277777758818</v>
      </c>
      <c r="G22" s="5">
        <f t="shared" si="8"/>
        <v>100.64959877722583</v>
      </c>
      <c r="H22" s="5">
        <f t="shared" si="9"/>
        <v>-0.61775759921235363</v>
      </c>
      <c r="I22" s="5">
        <f t="shared" si="10"/>
        <v>0.61775759921235363</v>
      </c>
      <c r="J22" s="5">
        <f t="shared" si="11"/>
        <v>0.38162445138461093</v>
      </c>
    </row>
    <row r="23" spans="1:10" x14ac:dyDescent="0.25">
      <c r="A23" s="54">
        <v>2015</v>
      </c>
      <c r="B23" s="16">
        <v>8</v>
      </c>
      <c r="C23" s="5">
        <v>534.29999999999995</v>
      </c>
      <c r="D23" s="5">
        <f t="shared" si="5"/>
        <v>8.1583333333331893</v>
      </c>
      <c r="E23" s="5">
        <f t="shared" si="6"/>
        <v>8.1583333333331893</v>
      </c>
      <c r="F23" s="5">
        <f t="shared" si="7"/>
        <v>66.558402777775427</v>
      </c>
      <c r="G23" s="5">
        <f t="shared" si="8"/>
        <v>101.42369020501138</v>
      </c>
      <c r="H23" s="5">
        <f t="shared" si="9"/>
        <v>0.15633382857319589</v>
      </c>
      <c r="I23" s="5">
        <f t="shared" si="10"/>
        <v>0.15633382857319589</v>
      </c>
      <c r="J23" s="5">
        <f t="shared" si="11"/>
        <v>2.4440265956353398E-2</v>
      </c>
    </row>
    <row r="24" spans="1:10" x14ac:dyDescent="0.25">
      <c r="A24" s="54">
        <v>2016</v>
      </c>
      <c r="B24" s="16">
        <v>9</v>
      </c>
      <c r="C24" s="5">
        <v>547.6</v>
      </c>
      <c r="D24" s="5">
        <f t="shared" si="5"/>
        <v>21.458333333333258</v>
      </c>
      <c r="E24" s="5">
        <f t="shared" si="6"/>
        <v>21.458333333333258</v>
      </c>
      <c r="F24" s="5">
        <f t="shared" si="7"/>
        <v>460.46006944444122</v>
      </c>
      <c r="G24" s="5">
        <f t="shared" si="8"/>
        <v>102.48923825566163</v>
      </c>
      <c r="H24" s="5">
        <f t="shared" si="9"/>
        <v>1.2218818792234458</v>
      </c>
      <c r="I24" s="5">
        <f t="shared" si="10"/>
        <v>1.2218818792234458</v>
      </c>
      <c r="J24" s="5">
        <f t="shared" si="11"/>
        <v>1.4929953267746194</v>
      </c>
    </row>
    <row r="25" spans="1:10" x14ac:dyDescent="0.25">
      <c r="A25" s="54">
        <v>2017</v>
      </c>
      <c r="B25" s="16">
        <v>10</v>
      </c>
      <c r="C25" s="5">
        <v>546.79999999999995</v>
      </c>
      <c r="D25" s="5">
        <f t="shared" si="5"/>
        <v>20.658333333333189</v>
      </c>
      <c r="E25" s="5">
        <f t="shared" si="6"/>
        <v>20.658333333333189</v>
      </c>
      <c r="F25" s="5">
        <f t="shared" si="7"/>
        <v>426.76673611110516</v>
      </c>
      <c r="G25" s="5">
        <f t="shared" si="8"/>
        <v>99.853907962016052</v>
      </c>
      <c r="H25" s="5">
        <f t="shared" si="9"/>
        <v>-1.4134484144221346</v>
      </c>
      <c r="I25" s="5">
        <f t="shared" si="10"/>
        <v>1.4134484144221346</v>
      </c>
      <c r="J25" s="5">
        <f t="shared" si="11"/>
        <v>1.9978364202324466</v>
      </c>
    </row>
    <row r="26" spans="1:10" x14ac:dyDescent="0.25">
      <c r="A26" s="54">
        <v>2018</v>
      </c>
      <c r="B26" s="16">
        <v>11</v>
      </c>
      <c r="C26" s="5">
        <v>556</v>
      </c>
      <c r="D26" s="5">
        <f t="shared" si="5"/>
        <v>29.858333333333235</v>
      </c>
      <c r="E26" s="5">
        <f t="shared" si="6"/>
        <v>29.858333333333235</v>
      </c>
      <c r="F26" s="5">
        <f t="shared" si="7"/>
        <v>891.5200694444386</v>
      </c>
      <c r="G26" s="5">
        <f t="shared" si="8"/>
        <v>101.68251645940016</v>
      </c>
      <c r="H26" s="5">
        <f t="shared" si="9"/>
        <v>0.41516008296197526</v>
      </c>
      <c r="I26" s="5">
        <f t="shared" si="10"/>
        <v>0.41516008296197526</v>
      </c>
      <c r="J26" s="5">
        <f t="shared" si="11"/>
        <v>0.1723578944849942</v>
      </c>
    </row>
    <row r="27" spans="1:10" x14ac:dyDescent="0.25">
      <c r="A27" s="54">
        <v>2019</v>
      </c>
      <c r="B27" s="16">
        <v>12</v>
      </c>
      <c r="C27" s="5">
        <v>561.20000000000005</v>
      </c>
      <c r="D27" s="5">
        <f t="shared" si="5"/>
        <v>35.05833333333328</v>
      </c>
      <c r="E27" s="5">
        <f t="shared" si="6"/>
        <v>35.05833333333328</v>
      </c>
      <c r="F27" s="5">
        <f t="shared" si="7"/>
        <v>1229.0867361111075</v>
      </c>
      <c r="G27" s="5">
        <f t="shared" si="8"/>
        <v>100.93525179856115</v>
      </c>
      <c r="H27" s="5">
        <f t="shared" si="9"/>
        <v>-0.33210457787703263</v>
      </c>
      <c r="I27" s="5">
        <f t="shared" si="10"/>
        <v>0.33210457787703263</v>
      </c>
      <c r="J27" s="5">
        <f t="shared" si="11"/>
        <v>0.11029345064688202</v>
      </c>
    </row>
    <row r="28" spans="1:10" x14ac:dyDescent="0.25">
      <c r="A28" s="54" t="s">
        <v>126</v>
      </c>
      <c r="B28" s="16">
        <v>13</v>
      </c>
      <c r="C28" s="5">
        <f>AVERAGE(C16:C27)</f>
        <v>526.14166666666677</v>
      </c>
      <c r="D28" s="5" t="s">
        <v>79</v>
      </c>
      <c r="E28" s="5" t="s">
        <v>79</v>
      </c>
      <c r="F28" s="5" t="s">
        <v>79</v>
      </c>
      <c r="G28" s="5">
        <f>POWER(PRODUCT(G17:G27),1/COUNTA(G17:G27))</f>
        <v>101.26735637643819</v>
      </c>
      <c r="H28" s="5" t="s">
        <v>79</v>
      </c>
      <c r="I28" s="5" t="s">
        <v>79</v>
      </c>
      <c r="J28" s="5" t="s">
        <v>79</v>
      </c>
    </row>
    <row r="29" spans="1:10" x14ac:dyDescent="0.25">
      <c r="A29" s="6"/>
    </row>
    <row r="30" spans="1:10" x14ac:dyDescent="0.25">
      <c r="A30" s="6" t="s">
        <v>183</v>
      </c>
    </row>
    <row r="31" spans="1:10" x14ac:dyDescent="0.25">
      <c r="A31" s="6"/>
    </row>
    <row r="32" spans="1:10" x14ac:dyDescent="0.25">
      <c r="A32" s="6"/>
    </row>
    <row r="33" spans="1:14" x14ac:dyDescent="0.25">
      <c r="A33" s="62" t="s">
        <v>184</v>
      </c>
    </row>
    <row r="34" spans="1:14" x14ac:dyDescent="0.25">
      <c r="A34" s="6"/>
    </row>
    <row r="35" spans="1:14" ht="60" x14ac:dyDescent="0.25">
      <c r="A35" s="83" t="s">
        <v>12</v>
      </c>
      <c r="B35" s="84"/>
      <c r="C35" s="2" t="s">
        <v>121</v>
      </c>
      <c r="D35" s="2" t="s">
        <v>119</v>
      </c>
      <c r="E35" s="2" t="s">
        <v>120</v>
      </c>
      <c r="F35" s="2" t="s">
        <v>124</v>
      </c>
      <c r="G35" s="2" t="s">
        <v>168</v>
      </c>
      <c r="H35" s="2" t="s">
        <v>169</v>
      </c>
      <c r="I35" s="2" t="s">
        <v>170</v>
      </c>
      <c r="J35" s="2" t="s">
        <v>171</v>
      </c>
      <c r="K35" s="2" t="s">
        <v>189</v>
      </c>
      <c r="L35" s="2" t="s">
        <v>169</v>
      </c>
      <c r="M35" s="2" t="s">
        <v>170</v>
      </c>
      <c r="N35" s="2" t="s">
        <v>171</v>
      </c>
    </row>
    <row r="36" spans="1:14" x14ac:dyDescent="0.25">
      <c r="A36" s="16" t="s">
        <v>13</v>
      </c>
      <c r="B36" s="15" t="s">
        <v>14</v>
      </c>
      <c r="C36" s="16" t="s">
        <v>143</v>
      </c>
      <c r="D36" s="16">
        <v>1</v>
      </c>
      <c r="E36" s="16">
        <v>2</v>
      </c>
      <c r="F36" s="16">
        <v>3</v>
      </c>
      <c r="G36" s="16">
        <v>4</v>
      </c>
      <c r="H36" s="16">
        <v>5</v>
      </c>
      <c r="I36" s="16">
        <v>6</v>
      </c>
      <c r="J36" s="16">
        <v>7</v>
      </c>
      <c r="K36" s="16">
        <v>4</v>
      </c>
      <c r="L36" s="16">
        <v>5</v>
      </c>
      <c r="M36" s="16">
        <v>6</v>
      </c>
      <c r="N36" s="16">
        <v>7</v>
      </c>
    </row>
    <row r="37" spans="1:14" x14ac:dyDescent="0.25">
      <c r="A37" s="54">
        <v>2008</v>
      </c>
      <c r="B37" s="16">
        <v>1</v>
      </c>
      <c r="C37" s="5" t="s">
        <v>79</v>
      </c>
      <c r="D37" s="5" t="s">
        <v>79</v>
      </c>
      <c r="E37" s="5" t="s">
        <v>79</v>
      </c>
      <c r="F37" s="5" t="s">
        <v>79</v>
      </c>
      <c r="G37" s="5" t="s">
        <v>79</v>
      </c>
      <c r="H37" s="5" t="s">
        <v>79</v>
      </c>
      <c r="I37" s="5" t="s">
        <v>79</v>
      </c>
      <c r="J37" s="5" t="s">
        <v>79</v>
      </c>
      <c r="K37" s="5" t="s">
        <v>79</v>
      </c>
      <c r="L37" s="5" t="s">
        <v>79</v>
      </c>
      <c r="M37" s="5" t="s">
        <v>79</v>
      </c>
      <c r="N37" s="5" t="s">
        <v>79</v>
      </c>
    </row>
    <row r="38" spans="1:14" x14ac:dyDescent="0.25">
      <c r="A38" s="54">
        <v>2009</v>
      </c>
      <c r="B38" s="16">
        <v>2</v>
      </c>
      <c r="C38" s="5" t="s">
        <v>79</v>
      </c>
      <c r="D38" s="5" t="s">
        <v>79</v>
      </c>
      <c r="E38" s="5" t="s">
        <v>79</v>
      </c>
      <c r="F38" s="5" t="s">
        <v>79</v>
      </c>
      <c r="G38" s="5" t="s">
        <v>79</v>
      </c>
      <c r="H38" s="5" t="s">
        <v>79</v>
      </c>
      <c r="I38" s="5" t="s">
        <v>79</v>
      </c>
      <c r="J38" s="5" t="s">
        <v>79</v>
      </c>
      <c r="K38" s="5" t="s">
        <v>79</v>
      </c>
      <c r="L38" s="5" t="s">
        <v>79</v>
      </c>
      <c r="M38" s="5" t="s">
        <v>79</v>
      </c>
      <c r="N38" s="5" t="s">
        <v>79</v>
      </c>
    </row>
    <row r="39" spans="1:14" x14ac:dyDescent="0.25">
      <c r="A39" s="54">
        <v>2010</v>
      </c>
      <c r="B39" s="16">
        <v>3</v>
      </c>
      <c r="C39" s="5" t="s">
        <v>79</v>
      </c>
      <c r="D39" s="5" t="s">
        <v>79</v>
      </c>
      <c r="E39" s="5" t="s">
        <v>79</v>
      </c>
      <c r="F39" s="5" t="s">
        <v>79</v>
      </c>
      <c r="G39" s="5" t="s">
        <v>79</v>
      </c>
      <c r="H39" s="5" t="s">
        <v>79</v>
      </c>
      <c r="I39" s="5" t="s">
        <v>79</v>
      </c>
      <c r="J39" s="5" t="s">
        <v>79</v>
      </c>
      <c r="K39" s="5" t="s">
        <v>79</v>
      </c>
      <c r="L39" s="5" t="s">
        <v>79</v>
      </c>
      <c r="M39" s="5" t="s">
        <v>79</v>
      </c>
      <c r="N39" s="5" t="s">
        <v>79</v>
      </c>
    </row>
    <row r="40" spans="1:14" x14ac:dyDescent="0.25">
      <c r="A40" s="54">
        <v>2011</v>
      </c>
      <c r="B40" s="16">
        <v>4</v>
      </c>
      <c r="C40" s="5" t="s">
        <v>79</v>
      </c>
      <c r="D40" s="5" t="s">
        <v>79</v>
      </c>
      <c r="E40" s="5" t="s">
        <v>79</v>
      </c>
      <c r="F40" s="5" t="s">
        <v>79</v>
      </c>
      <c r="G40" s="5" t="s">
        <v>79</v>
      </c>
      <c r="H40" s="5" t="s">
        <v>79</v>
      </c>
      <c r="I40" s="5" t="s">
        <v>79</v>
      </c>
      <c r="J40" s="5" t="s">
        <v>79</v>
      </c>
      <c r="K40" s="5" t="s">
        <v>79</v>
      </c>
      <c r="L40" s="5" t="s">
        <v>79</v>
      </c>
      <c r="M40" s="5" t="s">
        <v>79</v>
      </c>
      <c r="N40" s="5" t="s">
        <v>79</v>
      </c>
    </row>
    <row r="41" spans="1:14" x14ac:dyDescent="0.25">
      <c r="A41" s="54">
        <v>2012</v>
      </c>
      <c r="B41" s="16">
        <v>5</v>
      </c>
      <c r="C41" s="5" t="s">
        <v>79</v>
      </c>
      <c r="D41" s="5" t="s">
        <v>79</v>
      </c>
      <c r="E41" s="5" t="s">
        <v>79</v>
      </c>
      <c r="F41" s="5" t="s">
        <v>79</v>
      </c>
      <c r="G41" s="5" t="s">
        <v>79</v>
      </c>
      <c r="H41" s="5" t="s">
        <v>79</v>
      </c>
      <c r="I41" s="5" t="s">
        <v>79</v>
      </c>
      <c r="J41" s="5" t="s">
        <v>79</v>
      </c>
      <c r="K41" s="5" t="s">
        <v>79</v>
      </c>
      <c r="L41" s="5" t="s">
        <v>79</v>
      </c>
      <c r="M41" s="5" t="s">
        <v>79</v>
      </c>
      <c r="N41" s="5" t="s">
        <v>79</v>
      </c>
    </row>
    <row r="42" spans="1:14" x14ac:dyDescent="0.25">
      <c r="A42" s="54">
        <v>2013</v>
      </c>
      <c r="B42" s="16">
        <v>6</v>
      </c>
      <c r="C42" s="5" t="s">
        <v>79</v>
      </c>
      <c r="D42" s="5" t="s">
        <v>79</v>
      </c>
      <c r="E42" s="5" t="s">
        <v>79</v>
      </c>
      <c r="F42" s="5" t="s">
        <v>79</v>
      </c>
      <c r="G42" s="5" t="s">
        <v>79</v>
      </c>
      <c r="H42" s="5" t="s">
        <v>79</v>
      </c>
      <c r="I42" s="5" t="s">
        <v>79</v>
      </c>
      <c r="J42" s="5" t="s">
        <v>79</v>
      </c>
      <c r="K42" s="5" t="s">
        <v>79</v>
      </c>
      <c r="L42" s="5" t="s">
        <v>79</v>
      </c>
      <c r="M42" s="5" t="s">
        <v>79</v>
      </c>
      <c r="N42" s="5" t="s">
        <v>79</v>
      </c>
    </row>
    <row r="43" spans="1:14" x14ac:dyDescent="0.25">
      <c r="A43" s="54">
        <v>2014</v>
      </c>
      <c r="B43" s="16">
        <v>7</v>
      </c>
      <c r="C43" s="5">
        <f t="array" ref="C43:C48">TRANSPOSE(I6:N6)</f>
        <v>155</v>
      </c>
      <c r="D43" s="5">
        <f>C43-$C$49</f>
        <v>-6.7833333333333314</v>
      </c>
      <c r="E43" s="5">
        <f>ABS(D43)</f>
        <v>6.7833333333333314</v>
      </c>
      <c r="F43" s="5">
        <f>POWER(E43,2)</f>
        <v>46.013611111111082</v>
      </c>
      <c r="G43" s="5" t="s">
        <v>79</v>
      </c>
      <c r="H43" s="5" t="s">
        <v>79</v>
      </c>
      <c r="I43" s="5" t="s">
        <v>79</v>
      </c>
      <c r="J43" s="5" t="s">
        <v>79</v>
      </c>
      <c r="K43" s="5">
        <f>C43/C22*100</f>
        <v>29.422930903568716</v>
      </c>
      <c r="L43" s="5">
        <f>K43-$K$49</f>
        <v>-0.23732891661364874</v>
      </c>
      <c r="M43" s="5">
        <f>ABS(L43)</f>
        <v>0.23732891661364874</v>
      </c>
      <c r="N43" s="5">
        <f>POWER(M43, 2)</f>
        <v>5.6325014661008241E-2</v>
      </c>
    </row>
    <row r="44" spans="1:14" x14ac:dyDescent="0.25">
      <c r="A44" s="54">
        <v>2015</v>
      </c>
      <c r="B44" s="16">
        <v>8</v>
      </c>
      <c r="C44" s="5">
        <v>159</v>
      </c>
      <c r="D44" s="5">
        <f t="shared" ref="D44:D48" si="12">C44-$C$49</f>
        <v>-2.7833333333333314</v>
      </c>
      <c r="E44" s="5">
        <f t="shared" ref="E44:E48" si="13">ABS(D44)</f>
        <v>2.7833333333333314</v>
      </c>
      <c r="F44" s="5">
        <f>POWER(E44,2)</f>
        <v>7.7469444444444342</v>
      </c>
      <c r="G44" s="5">
        <f>C44/C43*100</f>
        <v>102.58064516129033</v>
      </c>
      <c r="H44" s="5">
        <f>G44-$G$49</f>
        <v>1.2366170753660271</v>
      </c>
      <c r="I44" s="5">
        <f>ABS(H44)</f>
        <v>1.2366170753660271</v>
      </c>
      <c r="J44" s="5">
        <f>POWER(I44, 2)</f>
        <v>1.5292217910868262</v>
      </c>
      <c r="K44" s="5">
        <f t="shared" ref="K44:K48" si="14">C44/C23*100</f>
        <v>29.758562605277938</v>
      </c>
      <c r="L44" s="5">
        <f t="shared" ref="L44:L47" si="15">K44-$K$49</f>
        <v>9.8302785095572887E-2</v>
      </c>
      <c r="M44" s="5">
        <f t="shared" ref="M44:M48" si="16">ABS(L44)</f>
        <v>9.8302785095572887E-2</v>
      </c>
      <c r="N44" s="5">
        <f t="shared" ref="N44:N48" si="17">POWER(M44, 2)</f>
        <v>9.6634375575463862E-3</v>
      </c>
    </row>
    <row r="45" spans="1:14" x14ac:dyDescent="0.25">
      <c r="A45" s="54">
        <v>2016</v>
      </c>
      <c r="B45" s="16">
        <v>9</v>
      </c>
      <c r="C45" s="5">
        <v>163.30000000000001</v>
      </c>
      <c r="D45" s="5">
        <f t="shared" si="12"/>
        <v>1.5166666666666799</v>
      </c>
      <c r="E45" s="5">
        <f t="shared" si="13"/>
        <v>1.5166666666666799</v>
      </c>
      <c r="F45" s="5">
        <f t="shared" ref="F45:F48" si="18">POWER(E45,2)</f>
        <v>2.3002777777778181</v>
      </c>
      <c r="G45" s="5">
        <f t="shared" ref="G45:G48" si="19">C45/C44*100</f>
        <v>102.70440251572327</v>
      </c>
      <c r="H45" s="5">
        <f t="shared" ref="H45:H48" si="20">G45-$G$49</f>
        <v>1.3603744297989664</v>
      </c>
      <c r="I45" s="5">
        <f t="shared" ref="I45:I48" si="21">ABS(H45)</f>
        <v>1.3603744297989664</v>
      </c>
      <c r="J45" s="5">
        <f t="shared" ref="J45:J48" si="22">POWER(I45, 2)</f>
        <v>1.8506185892508629</v>
      </c>
      <c r="K45" s="5">
        <f t="shared" si="14"/>
        <v>29.821037253469683</v>
      </c>
      <c r="L45" s="5">
        <f t="shared" si="15"/>
        <v>0.16077743328731842</v>
      </c>
      <c r="M45" s="5">
        <f t="shared" si="16"/>
        <v>0.16077743328731842</v>
      </c>
      <c r="N45" s="5">
        <f t="shared" si="17"/>
        <v>2.5849383054458126E-2</v>
      </c>
    </row>
    <row r="46" spans="1:14" x14ac:dyDescent="0.25">
      <c r="A46" s="54">
        <v>2017</v>
      </c>
      <c r="B46" s="16">
        <v>10</v>
      </c>
      <c r="C46" s="5">
        <v>163.30000000000001</v>
      </c>
      <c r="D46" s="5">
        <f t="shared" si="12"/>
        <v>1.5166666666666799</v>
      </c>
      <c r="E46" s="5">
        <f t="shared" si="13"/>
        <v>1.5166666666666799</v>
      </c>
      <c r="F46" s="5">
        <f t="shared" si="18"/>
        <v>2.3002777777778181</v>
      </c>
      <c r="G46" s="5">
        <f t="shared" si="19"/>
        <v>100</v>
      </c>
      <c r="H46" s="5">
        <f t="shared" si="20"/>
        <v>-1.3440280859243074</v>
      </c>
      <c r="I46" s="5">
        <f t="shared" si="21"/>
        <v>1.3440280859243074</v>
      </c>
      <c r="J46" s="5">
        <f t="shared" si="22"/>
        <v>1.8064114957533575</v>
      </c>
      <c r="K46" s="5">
        <f t="shared" si="14"/>
        <v>29.864667154352603</v>
      </c>
      <c r="L46" s="5">
        <f t="shared" si="15"/>
        <v>0.20440733417023793</v>
      </c>
      <c r="M46" s="5">
        <f t="shared" si="16"/>
        <v>0.20440733417023793</v>
      </c>
      <c r="N46" s="5">
        <f t="shared" si="17"/>
        <v>4.1782358262583322E-2</v>
      </c>
    </row>
    <row r="47" spans="1:14" x14ac:dyDescent="0.25">
      <c r="A47" s="54">
        <v>2018</v>
      </c>
      <c r="B47" s="16">
        <v>11</v>
      </c>
      <c r="C47" s="5">
        <v>164.4</v>
      </c>
      <c r="D47" s="5">
        <f t="shared" si="12"/>
        <v>2.6166666666666742</v>
      </c>
      <c r="E47" s="5">
        <f t="shared" si="13"/>
        <v>2.6166666666666742</v>
      </c>
      <c r="F47" s="5">
        <f t="shared" si="18"/>
        <v>6.8469444444444845</v>
      </c>
      <c r="G47" s="5">
        <f t="shared" si="19"/>
        <v>100.67360685854257</v>
      </c>
      <c r="H47" s="5">
        <f t="shared" si="20"/>
        <v>-0.67042122738173759</v>
      </c>
      <c r="I47" s="5">
        <f t="shared" si="21"/>
        <v>0.67042122738173759</v>
      </c>
      <c r="J47" s="5">
        <f t="shared" si="22"/>
        <v>0.44946462212403548</v>
      </c>
      <c r="K47" s="5">
        <f t="shared" si="14"/>
        <v>29.568345323741006</v>
      </c>
      <c r="L47" s="5">
        <f t="shared" si="15"/>
        <v>-9.1914496441358295E-2</v>
      </c>
      <c r="M47" s="5">
        <f>ABS(L47)</f>
        <v>9.1914496441358295E-2</v>
      </c>
      <c r="N47" s="5">
        <f t="shared" si="17"/>
        <v>8.4482746560684673E-3</v>
      </c>
    </row>
    <row r="48" spans="1:14" x14ac:dyDescent="0.25">
      <c r="A48" s="54">
        <v>2019</v>
      </c>
      <c r="B48" s="16">
        <v>12</v>
      </c>
      <c r="C48" s="5">
        <v>165.7</v>
      </c>
      <c r="D48" s="5">
        <f t="shared" si="12"/>
        <v>3.9166666666666572</v>
      </c>
      <c r="E48" s="5">
        <f t="shared" si="13"/>
        <v>3.9166666666666572</v>
      </c>
      <c r="F48" s="5">
        <f t="shared" si="18"/>
        <v>15.340277777777704</v>
      </c>
      <c r="G48" s="5">
        <f t="shared" si="19"/>
        <v>100.79075425790754</v>
      </c>
      <c r="H48" s="5">
        <f t="shared" si="20"/>
        <v>-0.55327382801677061</v>
      </c>
      <c r="I48" s="5">
        <f t="shared" si="21"/>
        <v>0.55327382801677061</v>
      </c>
      <c r="J48" s="5">
        <f t="shared" si="22"/>
        <v>0.30611192876833104</v>
      </c>
      <c r="K48" s="5">
        <f t="shared" si="14"/>
        <v>29.526015680684242</v>
      </c>
      <c r="L48" s="5">
        <f>K48-$K$49</f>
        <v>-0.13424413949812219</v>
      </c>
      <c r="M48" s="5">
        <f t="shared" si="16"/>
        <v>0.13424413949812219</v>
      </c>
      <c r="N48" s="5">
        <f t="shared" si="17"/>
        <v>1.8021488989591293E-2</v>
      </c>
    </row>
    <row r="49" spans="1:14" x14ac:dyDescent="0.25">
      <c r="A49" s="54" t="s">
        <v>126</v>
      </c>
      <c r="B49" s="16">
        <v>13</v>
      </c>
      <c r="C49" s="5">
        <f>AVERAGE(C43:C48)</f>
        <v>161.78333333333333</v>
      </c>
      <c r="D49" s="5" t="s">
        <v>79</v>
      </c>
      <c r="E49" s="5" t="s">
        <v>79</v>
      </c>
      <c r="F49" s="5" t="s">
        <v>79</v>
      </c>
      <c r="G49" s="5">
        <f>POWER(PRODUCT(G44:G48),1/COUNTA(G44:G48))</f>
        <v>101.34402808592431</v>
      </c>
      <c r="H49" s="5" t="s">
        <v>79</v>
      </c>
      <c r="I49" s="5" t="s">
        <v>79</v>
      </c>
      <c r="J49" s="5" t="s">
        <v>79</v>
      </c>
      <c r="K49" s="5">
        <f>AVERAGE(K43:K48)</f>
        <v>29.660259820182365</v>
      </c>
      <c r="L49" s="5" t="s">
        <v>79</v>
      </c>
      <c r="M49" s="5" t="s">
        <v>79</v>
      </c>
      <c r="N49" s="5" t="s">
        <v>79</v>
      </c>
    </row>
    <row r="50" spans="1:14" x14ac:dyDescent="0.25">
      <c r="A50" s="6"/>
    </row>
    <row r="51" spans="1:14" x14ac:dyDescent="0.25">
      <c r="A51" s="6" t="s">
        <v>183</v>
      </c>
    </row>
    <row r="52" spans="1:14" x14ac:dyDescent="0.25">
      <c r="A52" s="6"/>
    </row>
    <row r="53" spans="1:14" x14ac:dyDescent="0.25">
      <c r="A53" s="6"/>
    </row>
    <row r="54" spans="1:14" x14ac:dyDescent="0.25">
      <c r="A54" s="62" t="s">
        <v>185</v>
      </c>
    </row>
    <row r="55" spans="1:14" x14ac:dyDescent="0.25">
      <c r="A55" s="6"/>
    </row>
    <row r="56" spans="1:14" ht="60" x14ac:dyDescent="0.25">
      <c r="A56" s="83" t="s">
        <v>12</v>
      </c>
      <c r="B56" s="84"/>
      <c r="C56" s="2" t="s">
        <v>121</v>
      </c>
      <c r="D56" s="2" t="s">
        <v>119</v>
      </c>
      <c r="E56" s="2" t="s">
        <v>120</v>
      </c>
      <c r="F56" s="2" t="s">
        <v>124</v>
      </c>
      <c r="G56" s="2" t="s">
        <v>168</v>
      </c>
      <c r="H56" s="2" t="s">
        <v>169</v>
      </c>
      <c r="I56" s="2" t="s">
        <v>170</v>
      </c>
      <c r="J56" s="2" t="s">
        <v>171</v>
      </c>
      <c r="K56" s="2" t="s">
        <v>189</v>
      </c>
      <c r="L56" s="2" t="s">
        <v>169</v>
      </c>
      <c r="M56" s="2" t="s">
        <v>170</v>
      </c>
      <c r="N56" s="2" t="s">
        <v>171</v>
      </c>
    </row>
    <row r="57" spans="1:14" x14ac:dyDescent="0.25">
      <c r="A57" s="16" t="s">
        <v>13</v>
      </c>
      <c r="B57" s="15" t="s">
        <v>14</v>
      </c>
      <c r="C57" s="16" t="s">
        <v>143</v>
      </c>
      <c r="D57" s="16">
        <v>1</v>
      </c>
      <c r="E57" s="16">
        <v>2</v>
      </c>
      <c r="F57" s="16">
        <v>3</v>
      </c>
      <c r="G57" s="16">
        <v>4</v>
      </c>
      <c r="H57" s="16">
        <v>5</v>
      </c>
      <c r="I57" s="16">
        <v>6</v>
      </c>
      <c r="J57" s="16">
        <v>7</v>
      </c>
      <c r="K57" s="16">
        <v>4</v>
      </c>
      <c r="L57" s="16">
        <v>5</v>
      </c>
      <c r="M57" s="16">
        <v>6</v>
      </c>
      <c r="N57" s="16">
        <v>7</v>
      </c>
    </row>
    <row r="58" spans="1:14" x14ac:dyDescent="0.25">
      <c r="A58" s="54">
        <v>2008</v>
      </c>
      <c r="B58" s="16">
        <v>1</v>
      </c>
      <c r="C58" s="5" t="s">
        <v>79</v>
      </c>
      <c r="D58" s="5" t="s">
        <v>79</v>
      </c>
      <c r="E58" s="5" t="s">
        <v>79</v>
      </c>
      <c r="F58" s="5" t="s">
        <v>79</v>
      </c>
      <c r="G58" s="5" t="s">
        <v>79</v>
      </c>
      <c r="H58" s="5" t="s">
        <v>79</v>
      </c>
      <c r="I58" s="5" t="s">
        <v>79</v>
      </c>
      <c r="J58" s="5" t="s">
        <v>79</v>
      </c>
      <c r="K58" s="5" t="s">
        <v>79</v>
      </c>
      <c r="L58" s="5" t="s">
        <v>79</v>
      </c>
      <c r="M58" s="5" t="s">
        <v>79</v>
      </c>
      <c r="N58" s="5" t="s">
        <v>79</v>
      </c>
    </row>
    <row r="59" spans="1:14" x14ac:dyDescent="0.25">
      <c r="A59" s="54">
        <v>2009</v>
      </c>
      <c r="B59" s="16">
        <v>2</v>
      </c>
      <c r="C59" s="5" t="s">
        <v>79</v>
      </c>
      <c r="D59" s="5" t="s">
        <v>79</v>
      </c>
      <c r="E59" s="5" t="s">
        <v>79</v>
      </c>
      <c r="F59" s="5" t="s">
        <v>79</v>
      </c>
      <c r="G59" s="5" t="s">
        <v>79</v>
      </c>
      <c r="H59" s="5" t="s">
        <v>79</v>
      </c>
      <c r="I59" s="5" t="s">
        <v>79</v>
      </c>
      <c r="J59" s="5" t="s">
        <v>79</v>
      </c>
      <c r="K59" s="5" t="s">
        <v>79</v>
      </c>
      <c r="L59" s="5" t="s">
        <v>79</v>
      </c>
      <c r="M59" s="5" t="s">
        <v>79</v>
      </c>
      <c r="N59" s="5" t="s">
        <v>79</v>
      </c>
    </row>
    <row r="60" spans="1:14" x14ac:dyDescent="0.25">
      <c r="A60" s="54">
        <v>2010</v>
      </c>
      <c r="B60" s="16">
        <v>3</v>
      </c>
      <c r="C60" s="5" t="s">
        <v>79</v>
      </c>
      <c r="D60" s="5" t="s">
        <v>79</v>
      </c>
      <c r="E60" s="5" t="s">
        <v>79</v>
      </c>
      <c r="F60" s="5" t="s">
        <v>79</v>
      </c>
      <c r="G60" s="5" t="s">
        <v>79</v>
      </c>
      <c r="H60" s="5" t="s">
        <v>79</v>
      </c>
      <c r="I60" s="5" t="s">
        <v>79</v>
      </c>
      <c r="J60" s="5" t="s">
        <v>79</v>
      </c>
      <c r="K60" s="5" t="s">
        <v>79</v>
      </c>
      <c r="L60" s="5" t="s">
        <v>79</v>
      </c>
      <c r="M60" s="5" t="s">
        <v>79</v>
      </c>
      <c r="N60" s="5" t="s">
        <v>79</v>
      </c>
    </row>
    <row r="61" spans="1:14" x14ac:dyDescent="0.25">
      <c r="A61" s="54">
        <v>2011</v>
      </c>
      <c r="B61" s="16">
        <v>4</v>
      </c>
      <c r="C61" s="5" t="s">
        <v>79</v>
      </c>
      <c r="D61" s="5" t="s">
        <v>79</v>
      </c>
      <c r="E61" s="5" t="s">
        <v>79</v>
      </c>
      <c r="F61" s="5" t="s">
        <v>79</v>
      </c>
      <c r="G61" s="5" t="s">
        <v>79</v>
      </c>
      <c r="H61" s="5" t="s">
        <v>79</v>
      </c>
      <c r="I61" s="5" t="s">
        <v>79</v>
      </c>
      <c r="J61" s="5" t="s">
        <v>79</v>
      </c>
      <c r="K61" s="5" t="s">
        <v>79</v>
      </c>
      <c r="L61" s="5" t="s">
        <v>79</v>
      </c>
      <c r="M61" s="5" t="s">
        <v>79</v>
      </c>
      <c r="N61" s="5" t="s">
        <v>79</v>
      </c>
    </row>
    <row r="62" spans="1:14" x14ac:dyDescent="0.25">
      <c r="A62" s="54">
        <v>2012</v>
      </c>
      <c r="B62" s="16">
        <v>5</v>
      </c>
      <c r="C62" s="5" t="s">
        <v>79</v>
      </c>
      <c r="D62" s="5" t="s">
        <v>79</v>
      </c>
      <c r="E62" s="5" t="s">
        <v>79</v>
      </c>
      <c r="F62" s="5" t="s">
        <v>79</v>
      </c>
      <c r="G62" s="5" t="s">
        <v>79</v>
      </c>
      <c r="H62" s="5" t="s">
        <v>79</v>
      </c>
      <c r="I62" s="5" t="s">
        <v>79</v>
      </c>
      <c r="J62" s="5" t="s">
        <v>79</v>
      </c>
      <c r="K62" s="5" t="s">
        <v>79</v>
      </c>
      <c r="L62" s="5" t="s">
        <v>79</v>
      </c>
      <c r="M62" s="5" t="s">
        <v>79</v>
      </c>
      <c r="N62" s="5" t="s">
        <v>79</v>
      </c>
    </row>
    <row r="63" spans="1:14" x14ac:dyDescent="0.25">
      <c r="A63" s="54">
        <v>2013</v>
      </c>
      <c r="B63" s="16">
        <v>6</v>
      </c>
      <c r="C63" s="5" t="s">
        <v>79</v>
      </c>
      <c r="D63" s="5" t="s">
        <v>79</v>
      </c>
      <c r="E63" s="5" t="s">
        <v>79</v>
      </c>
      <c r="F63" s="5" t="s">
        <v>79</v>
      </c>
      <c r="G63" s="5" t="s">
        <v>79</v>
      </c>
      <c r="H63" s="5" t="s">
        <v>79</v>
      </c>
      <c r="I63" s="5" t="s">
        <v>79</v>
      </c>
      <c r="J63" s="5" t="s">
        <v>79</v>
      </c>
      <c r="K63" s="5" t="s">
        <v>79</v>
      </c>
      <c r="L63" s="5" t="s">
        <v>79</v>
      </c>
      <c r="M63" s="5" t="s">
        <v>79</v>
      </c>
      <c r="N63" s="5" t="s">
        <v>79</v>
      </c>
    </row>
    <row r="64" spans="1:14" x14ac:dyDescent="0.25">
      <c r="A64" s="54">
        <v>2014</v>
      </c>
      <c r="B64" s="16">
        <v>7</v>
      </c>
      <c r="C64" s="5">
        <f t="array" ref="C64:C69">TRANSPOSE(I7:N7)</f>
        <v>313</v>
      </c>
      <c r="D64" s="5">
        <f>C64-$C$70</f>
        <v>-2.0500000000000114</v>
      </c>
      <c r="E64" s="5">
        <f>ABS(D64)</f>
        <v>2.0500000000000114</v>
      </c>
      <c r="F64" s="5">
        <f>POWER(E64,2)</f>
        <v>4.2025000000000468</v>
      </c>
      <c r="G64" s="5" t="s">
        <v>79</v>
      </c>
      <c r="H64" s="5" t="s">
        <v>79</v>
      </c>
      <c r="I64" s="5" t="s">
        <v>79</v>
      </c>
      <c r="J64" s="5" t="s">
        <v>79</v>
      </c>
      <c r="K64" s="5">
        <f>C64/C22*100</f>
        <v>59.415337889141995</v>
      </c>
      <c r="L64" s="5">
        <f>K64-$K$70</f>
        <v>1.6375116772811396</v>
      </c>
      <c r="M64" s="5">
        <f>ABS(L64)</f>
        <v>1.6375116772811396</v>
      </c>
      <c r="N64" s="5">
        <f>POWER(M64, 2)</f>
        <v>2.6814444932320911</v>
      </c>
    </row>
    <row r="65" spans="1:14" x14ac:dyDescent="0.25">
      <c r="A65" s="54">
        <v>2015</v>
      </c>
      <c r="B65" s="16">
        <v>8</v>
      </c>
      <c r="C65" s="5">
        <v>311.8</v>
      </c>
      <c r="D65" s="5">
        <f t="shared" ref="D65:D69" si="23">C65-$C$70</f>
        <v>-3.25</v>
      </c>
      <c r="E65" s="5">
        <f t="shared" ref="E65:E69" si="24">ABS(D65)</f>
        <v>3.25</v>
      </c>
      <c r="F65" s="5">
        <f>POWER(E65,2)</f>
        <v>10.5625</v>
      </c>
      <c r="G65" s="5">
        <f>C65/C64*100</f>
        <v>99.616613418530349</v>
      </c>
      <c r="H65" s="5">
        <f>G65-$G$70</f>
        <v>-0.79531434668675161</v>
      </c>
      <c r="I65" s="5">
        <f>ABS(H65)</f>
        <v>0.79531434668675161</v>
      </c>
      <c r="J65" s="5">
        <f>POWER(I65, 2)</f>
        <v>0.63252491004577449</v>
      </c>
      <c r="K65" s="5">
        <f t="shared" ref="K65:K69" si="25">C65/C23*100</f>
        <v>58.356728429721137</v>
      </c>
      <c r="L65" s="5">
        <f t="shared" ref="L65:L69" si="26">K65-$K$70</f>
        <v>0.57890221786028206</v>
      </c>
      <c r="M65" s="5">
        <f t="shared" ref="M65:M69" si="27">ABS(L65)</f>
        <v>0.57890221786028206</v>
      </c>
      <c r="N65" s="5">
        <f t="shared" ref="N65:N69" si="28">POWER(M65, 2)</f>
        <v>0.33512777784355346</v>
      </c>
    </row>
    <row r="66" spans="1:14" x14ac:dyDescent="0.25">
      <c r="A66" s="54">
        <v>2016</v>
      </c>
      <c r="B66" s="16">
        <v>9</v>
      </c>
      <c r="C66" s="5">
        <v>315.5</v>
      </c>
      <c r="D66" s="5">
        <f t="shared" si="23"/>
        <v>0.44999999999998863</v>
      </c>
      <c r="E66" s="5">
        <f t="shared" si="24"/>
        <v>0.44999999999998863</v>
      </c>
      <c r="F66" s="5">
        <f t="shared" ref="F66:F69" si="29">POWER(E66,2)</f>
        <v>0.20249999999998977</v>
      </c>
      <c r="G66" s="5">
        <f t="shared" ref="G66:G69" si="30">C66/C65*100</f>
        <v>101.18665811417576</v>
      </c>
      <c r="H66" s="5">
        <f t="shared" ref="H66:H68" si="31">G66-$G$70</f>
        <v>0.77473034895865567</v>
      </c>
      <c r="I66" s="5">
        <f t="shared" ref="I66:I69" si="32">ABS(H66)</f>
        <v>0.77473034895865567</v>
      </c>
      <c r="J66" s="5">
        <f t="shared" ref="J66:J69" si="33">POWER(I66, 2)</f>
        <v>0.60020711359760037</v>
      </c>
      <c r="K66" s="5">
        <f t="shared" si="25"/>
        <v>57.615047479912342</v>
      </c>
      <c r="L66" s="5">
        <f t="shared" si="26"/>
        <v>-0.16277873194851367</v>
      </c>
      <c r="M66" s="5">
        <f t="shared" si="27"/>
        <v>0.16277873194851367</v>
      </c>
      <c r="N66" s="5">
        <f t="shared" si="28"/>
        <v>2.6496915574766064E-2</v>
      </c>
    </row>
    <row r="67" spans="1:14" x14ac:dyDescent="0.25">
      <c r="A67" s="54">
        <v>2017</v>
      </c>
      <c r="B67" s="16">
        <v>10</v>
      </c>
      <c r="C67" s="5">
        <v>313.60000000000002</v>
      </c>
      <c r="D67" s="5">
        <f t="shared" si="23"/>
        <v>-1.4499999999999886</v>
      </c>
      <c r="E67" s="5">
        <f t="shared" si="24"/>
        <v>1.4499999999999886</v>
      </c>
      <c r="F67" s="5">
        <f t="shared" si="29"/>
        <v>2.1024999999999672</v>
      </c>
      <c r="G67" s="5">
        <f t="shared" si="30"/>
        <v>99.397781299524567</v>
      </c>
      <c r="H67" s="5">
        <f t="shared" si="31"/>
        <v>-1.0141464656925336</v>
      </c>
      <c r="I67" s="5">
        <f t="shared" si="32"/>
        <v>1.0141464656925336</v>
      </c>
      <c r="J67" s="5">
        <f t="shared" si="33"/>
        <v>1.0284930538766572</v>
      </c>
      <c r="K67" s="5">
        <f t="shared" si="25"/>
        <v>57.351865398683252</v>
      </c>
      <c r="L67" s="5">
        <f t="shared" si="26"/>
        <v>-0.42596081317760337</v>
      </c>
      <c r="M67" s="5">
        <f t="shared" si="27"/>
        <v>0.42596081317760337</v>
      </c>
      <c r="N67" s="5">
        <f t="shared" si="28"/>
        <v>0.18144261436292511</v>
      </c>
    </row>
    <row r="68" spans="1:14" x14ac:dyDescent="0.25">
      <c r="A68" s="54">
        <v>2018</v>
      </c>
      <c r="B68" s="16">
        <v>11</v>
      </c>
      <c r="C68" s="5">
        <v>316.89999999999998</v>
      </c>
      <c r="D68" s="5">
        <f t="shared" si="23"/>
        <v>1.8499999999999659</v>
      </c>
      <c r="E68" s="5">
        <f t="shared" si="24"/>
        <v>1.8499999999999659</v>
      </c>
      <c r="F68" s="5">
        <f t="shared" si="29"/>
        <v>3.4224999999998738</v>
      </c>
      <c r="G68" s="5">
        <f t="shared" si="30"/>
        <v>101.05229591836734</v>
      </c>
      <c r="H68" s="5">
        <f t="shared" si="31"/>
        <v>0.64036815315023432</v>
      </c>
      <c r="I68" s="5">
        <f>ABS(H68)</f>
        <v>0.64036815315023432</v>
      </c>
      <c r="J68" s="5">
        <f t="shared" si="33"/>
        <v>0.41007137156904194</v>
      </c>
      <c r="K68" s="5">
        <f t="shared" si="25"/>
        <v>56.99640287769784</v>
      </c>
      <c r="L68" s="5">
        <f t="shared" si="26"/>
        <v>-0.78142333416301568</v>
      </c>
      <c r="M68" s="5">
        <f>ABS(L68)</f>
        <v>0.78142333416301568</v>
      </c>
      <c r="N68" s="5">
        <f t="shared" si="28"/>
        <v>0.61062242717444404</v>
      </c>
    </row>
    <row r="69" spans="1:14" x14ac:dyDescent="0.25">
      <c r="A69" s="54">
        <v>2019</v>
      </c>
      <c r="B69" s="16">
        <v>12</v>
      </c>
      <c r="C69" s="5">
        <v>319.5</v>
      </c>
      <c r="D69" s="5">
        <f t="shared" si="23"/>
        <v>4.4499999999999886</v>
      </c>
      <c r="E69" s="5">
        <f t="shared" si="24"/>
        <v>4.4499999999999886</v>
      </c>
      <c r="F69" s="5">
        <f t="shared" si="29"/>
        <v>19.802499999999899</v>
      </c>
      <c r="G69" s="5">
        <f t="shared" si="30"/>
        <v>100.82044809088042</v>
      </c>
      <c r="H69" s="5">
        <f>G69-$G$70</f>
        <v>0.40852032566331786</v>
      </c>
      <c r="I69" s="5">
        <f t="shared" si="32"/>
        <v>0.40852032566331786</v>
      </c>
      <c r="J69" s="5">
        <f t="shared" si="33"/>
        <v>0.1668888564800633</v>
      </c>
      <c r="K69" s="5">
        <f t="shared" si="25"/>
        <v>56.931575196008545</v>
      </c>
      <c r="L69" s="5">
        <f t="shared" si="26"/>
        <v>-0.84625101585231022</v>
      </c>
      <c r="M69" s="5">
        <f t="shared" si="27"/>
        <v>0.84625101585231022</v>
      </c>
      <c r="N69" s="5">
        <f t="shared" si="28"/>
        <v>0.716140781831067</v>
      </c>
    </row>
    <row r="70" spans="1:14" x14ac:dyDescent="0.25">
      <c r="A70" s="54" t="s">
        <v>126</v>
      </c>
      <c r="B70" s="16">
        <v>13</v>
      </c>
      <c r="C70" s="5">
        <f>AVERAGE(C64:C69)</f>
        <v>315.05</v>
      </c>
      <c r="D70" s="5" t="s">
        <v>79</v>
      </c>
      <c r="E70" s="5" t="s">
        <v>79</v>
      </c>
      <c r="F70" s="5" t="s">
        <v>79</v>
      </c>
      <c r="G70" s="5">
        <f>POWER(PRODUCT(G65:G69), 1/COUNTA(G65:G69))</f>
        <v>100.4119277652171</v>
      </c>
      <c r="H70" s="5" t="s">
        <v>79</v>
      </c>
      <c r="I70" s="5" t="s">
        <v>79</v>
      </c>
      <c r="J70" s="5" t="s">
        <v>79</v>
      </c>
      <c r="K70" s="5">
        <f>AVERAGE(K64:K69)</f>
        <v>57.777826211860855</v>
      </c>
      <c r="L70" s="5" t="s">
        <v>79</v>
      </c>
      <c r="M70" s="5" t="s">
        <v>79</v>
      </c>
      <c r="N70" s="5" t="s">
        <v>79</v>
      </c>
    </row>
    <row r="71" spans="1:14" x14ac:dyDescent="0.25">
      <c r="A71" s="6"/>
    </row>
    <row r="72" spans="1:14" x14ac:dyDescent="0.25">
      <c r="A72" s="6" t="s">
        <v>183</v>
      </c>
    </row>
    <row r="73" spans="1:14" x14ac:dyDescent="0.25">
      <c r="A73" s="6"/>
    </row>
    <row r="74" spans="1:14" x14ac:dyDescent="0.25">
      <c r="A74" s="6"/>
    </row>
    <row r="75" spans="1:14" x14ac:dyDescent="0.25">
      <c r="A75" s="62" t="s">
        <v>186</v>
      </c>
    </row>
    <row r="76" spans="1:14" x14ac:dyDescent="0.25">
      <c r="A76" s="6"/>
    </row>
    <row r="77" spans="1:14" ht="60" x14ac:dyDescent="0.25">
      <c r="A77" s="83" t="s">
        <v>12</v>
      </c>
      <c r="B77" s="84"/>
      <c r="C77" s="2" t="s">
        <v>121</v>
      </c>
      <c r="D77" s="2" t="s">
        <v>119</v>
      </c>
      <c r="E77" s="2" t="s">
        <v>120</v>
      </c>
      <c r="F77" s="2" t="s">
        <v>124</v>
      </c>
      <c r="G77" s="2" t="s">
        <v>168</v>
      </c>
      <c r="H77" s="2" t="s">
        <v>169</v>
      </c>
      <c r="I77" s="2" t="s">
        <v>170</v>
      </c>
      <c r="J77" s="2" t="s">
        <v>171</v>
      </c>
      <c r="K77" s="2" t="s">
        <v>189</v>
      </c>
      <c r="L77" s="2" t="s">
        <v>169</v>
      </c>
      <c r="M77" s="2" t="s">
        <v>170</v>
      </c>
      <c r="N77" s="2" t="s">
        <v>171</v>
      </c>
    </row>
    <row r="78" spans="1:14" x14ac:dyDescent="0.25">
      <c r="A78" s="16" t="s">
        <v>13</v>
      </c>
      <c r="B78" s="15" t="s">
        <v>14</v>
      </c>
      <c r="C78" s="16" t="s">
        <v>143</v>
      </c>
      <c r="D78" s="16">
        <v>1</v>
      </c>
      <c r="E78" s="16">
        <v>2</v>
      </c>
      <c r="F78" s="16">
        <v>3</v>
      </c>
      <c r="G78" s="16">
        <v>4</v>
      </c>
      <c r="H78" s="16">
        <v>5</v>
      </c>
      <c r="I78" s="16">
        <v>6</v>
      </c>
      <c r="J78" s="16">
        <v>7</v>
      </c>
      <c r="K78" s="16">
        <v>4</v>
      </c>
      <c r="L78" s="16">
        <v>5</v>
      </c>
      <c r="M78" s="16">
        <v>6</v>
      </c>
      <c r="N78" s="16">
        <v>7</v>
      </c>
    </row>
    <row r="79" spans="1:14" x14ac:dyDescent="0.25">
      <c r="A79" s="54">
        <v>2008</v>
      </c>
      <c r="B79" s="16">
        <v>1</v>
      </c>
      <c r="C79" s="5" t="s">
        <v>79</v>
      </c>
      <c r="D79" s="5" t="s">
        <v>79</v>
      </c>
      <c r="E79" s="5" t="s">
        <v>79</v>
      </c>
      <c r="F79" s="5" t="s">
        <v>79</v>
      </c>
      <c r="G79" s="5" t="s">
        <v>79</v>
      </c>
      <c r="H79" s="5" t="s">
        <v>79</v>
      </c>
      <c r="I79" s="5" t="s">
        <v>79</v>
      </c>
      <c r="J79" s="5" t="s">
        <v>79</v>
      </c>
      <c r="K79" s="5" t="s">
        <v>79</v>
      </c>
      <c r="L79" s="5" t="s">
        <v>79</v>
      </c>
      <c r="M79" s="5" t="s">
        <v>79</v>
      </c>
      <c r="N79" s="5" t="s">
        <v>79</v>
      </c>
    </row>
    <row r="80" spans="1:14" x14ac:dyDescent="0.25">
      <c r="A80" s="54">
        <v>2009</v>
      </c>
      <c r="B80" s="16">
        <v>2</v>
      </c>
      <c r="C80" s="5" t="s">
        <v>79</v>
      </c>
      <c r="D80" s="5" t="s">
        <v>79</v>
      </c>
      <c r="E80" s="5" t="s">
        <v>79</v>
      </c>
      <c r="F80" s="5" t="s">
        <v>79</v>
      </c>
      <c r="G80" s="5" t="s">
        <v>79</v>
      </c>
      <c r="H80" s="5" t="s">
        <v>79</v>
      </c>
      <c r="I80" s="5" t="s">
        <v>79</v>
      </c>
      <c r="J80" s="5" t="s">
        <v>79</v>
      </c>
      <c r="K80" s="5" t="s">
        <v>79</v>
      </c>
      <c r="L80" s="5" t="s">
        <v>79</v>
      </c>
      <c r="M80" s="5" t="s">
        <v>79</v>
      </c>
      <c r="N80" s="5" t="s">
        <v>79</v>
      </c>
    </row>
    <row r="81" spans="1:14" x14ac:dyDescent="0.25">
      <c r="A81" s="54">
        <v>2010</v>
      </c>
      <c r="B81" s="16">
        <v>3</v>
      </c>
      <c r="C81" s="5" t="s">
        <v>79</v>
      </c>
      <c r="D81" s="5" t="s">
        <v>79</v>
      </c>
      <c r="E81" s="5" t="s">
        <v>79</v>
      </c>
      <c r="F81" s="5" t="s">
        <v>79</v>
      </c>
      <c r="G81" s="5" t="s">
        <v>79</v>
      </c>
      <c r="H81" s="5" t="s">
        <v>79</v>
      </c>
      <c r="I81" s="5" t="s">
        <v>79</v>
      </c>
      <c r="J81" s="5" t="s">
        <v>79</v>
      </c>
      <c r="K81" s="5" t="s">
        <v>79</v>
      </c>
      <c r="L81" s="5" t="s">
        <v>79</v>
      </c>
      <c r="M81" s="5" t="s">
        <v>79</v>
      </c>
      <c r="N81" s="5" t="s">
        <v>79</v>
      </c>
    </row>
    <row r="82" spans="1:14" x14ac:dyDescent="0.25">
      <c r="A82" s="54">
        <v>2011</v>
      </c>
      <c r="B82" s="16">
        <v>4</v>
      </c>
      <c r="C82" s="5" t="s">
        <v>79</v>
      </c>
      <c r="D82" s="5" t="s">
        <v>79</v>
      </c>
      <c r="E82" s="5" t="s">
        <v>79</v>
      </c>
      <c r="F82" s="5" t="s">
        <v>79</v>
      </c>
      <c r="G82" s="5" t="s">
        <v>79</v>
      </c>
      <c r="H82" s="5" t="s">
        <v>79</v>
      </c>
      <c r="I82" s="5" t="s">
        <v>79</v>
      </c>
      <c r="J82" s="5" t="s">
        <v>79</v>
      </c>
      <c r="K82" s="5" t="s">
        <v>79</v>
      </c>
      <c r="L82" s="5" t="s">
        <v>79</v>
      </c>
      <c r="M82" s="5" t="s">
        <v>79</v>
      </c>
      <c r="N82" s="5" t="s">
        <v>79</v>
      </c>
    </row>
    <row r="83" spans="1:14" x14ac:dyDescent="0.25">
      <c r="A83" s="54">
        <v>2012</v>
      </c>
      <c r="B83" s="16">
        <v>5</v>
      </c>
      <c r="C83" s="5" t="s">
        <v>79</v>
      </c>
      <c r="D83" s="5" t="s">
        <v>79</v>
      </c>
      <c r="E83" s="5" t="s">
        <v>79</v>
      </c>
      <c r="F83" s="5" t="s">
        <v>79</v>
      </c>
      <c r="G83" s="5" t="s">
        <v>79</v>
      </c>
      <c r="H83" s="5" t="s">
        <v>79</v>
      </c>
      <c r="I83" s="5" t="s">
        <v>79</v>
      </c>
      <c r="J83" s="5" t="s">
        <v>79</v>
      </c>
      <c r="K83" s="5" t="s">
        <v>79</v>
      </c>
      <c r="L83" s="5" t="s">
        <v>79</v>
      </c>
      <c r="M83" s="5" t="s">
        <v>79</v>
      </c>
      <c r="N83" s="5" t="s">
        <v>79</v>
      </c>
    </row>
    <row r="84" spans="1:14" x14ac:dyDescent="0.25">
      <c r="A84" s="54">
        <v>2013</v>
      </c>
      <c r="B84" s="16">
        <v>6</v>
      </c>
      <c r="C84" s="5" t="s">
        <v>79</v>
      </c>
      <c r="D84" s="5" t="s">
        <v>79</v>
      </c>
      <c r="E84" s="5" t="s">
        <v>79</v>
      </c>
      <c r="F84" s="5" t="s">
        <v>79</v>
      </c>
      <c r="G84" s="5" t="s">
        <v>79</v>
      </c>
      <c r="H84" s="5" t="s">
        <v>79</v>
      </c>
      <c r="I84" s="5" t="s">
        <v>79</v>
      </c>
      <c r="J84" s="5" t="s">
        <v>79</v>
      </c>
      <c r="K84" s="5" t="s">
        <v>79</v>
      </c>
      <c r="L84" s="5" t="s">
        <v>79</v>
      </c>
      <c r="M84" s="5" t="s">
        <v>79</v>
      </c>
      <c r="N84" s="5" t="s">
        <v>79</v>
      </c>
    </row>
    <row r="85" spans="1:14" x14ac:dyDescent="0.25">
      <c r="A85" s="54">
        <v>2014</v>
      </c>
      <c r="B85" s="16">
        <v>7</v>
      </c>
      <c r="C85" s="5">
        <f t="array" ref="C85:C90">TRANSPOSE(I8:N8)</f>
        <v>58.8</v>
      </c>
      <c r="D85" s="5">
        <f>C85-$C$91</f>
        <v>-9.8000000000000114</v>
      </c>
      <c r="E85" s="5">
        <f>ABS(D85)</f>
        <v>9.8000000000000114</v>
      </c>
      <c r="F85" s="5">
        <f>POWER(E85,2)</f>
        <v>96.040000000000219</v>
      </c>
      <c r="G85" s="5" t="s">
        <v>79</v>
      </c>
      <c r="H85" s="5" t="s">
        <v>79</v>
      </c>
      <c r="I85" s="5" t="s">
        <v>79</v>
      </c>
      <c r="J85" s="5" t="s">
        <v>79</v>
      </c>
      <c r="K85" s="5">
        <f>C85/C22*100</f>
        <v>11.161731207289293</v>
      </c>
      <c r="L85" s="5">
        <f>K85-$K$91</f>
        <v>-1.3972609208094013</v>
      </c>
      <c r="M85" s="5">
        <f>ABS(L85)</f>
        <v>1.3972609208094013</v>
      </c>
      <c r="N85" s="5">
        <f>POWER(M85, 2)</f>
        <v>1.9523380808211361</v>
      </c>
    </row>
    <row r="86" spans="1:14" x14ac:dyDescent="0.25">
      <c r="A86" s="54">
        <v>2015</v>
      </c>
      <c r="B86" s="16">
        <v>8</v>
      </c>
      <c r="C86" s="5">
        <v>63.6</v>
      </c>
      <c r="D86" s="5">
        <f t="shared" ref="D86:D90" si="34">C86-$C$91</f>
        <v>-5.0000000000000071</v>
      </c>
      <c r="E86" s="5">
        <f t="shared" ref="E86:E90" si="35">ABS(D86)</f>
        <v>5.0000000000000071</v>
      </c>
      <c r="F86" s="5">
        <f>POWER(E86,2)</f>
        <v>25.000000000000071</v>
      </c>
      <c r="G86" s="5">
        <f>C86/C85*100</f>
        <v>108.16326530612245</v>
      </c>
      <c r="H86" s="5">
        <f>G86-$G$91</f>
        <v>2.8974755165045423</v>
      </c>
      <c r="I86" s="5">
        <f>ABS(H86)</f>
        <v>2.8974755165045423</v>
      </c>
      <c r="J86" s="5">
        <f>POWER(I86, 2)</f>
        <v>8.3953643687432642</v>
      </c>
      <c r="K86" s="5">
        <f t="shared" ref="K86:K90" si="36">C86/C23*100</f>
        <v>11.903425042111175</v>
      </c>
      <c r="L86" s="5">
        <f t="shared" ref="L86:L90" si="37">K86-$K$91</f>
        <v>-0.65556708598751889</v>
      </c>
      <c r="M86" s="5">
        <f t="shared" ref="M86:M90" si="38">ABS(L86)</f>
        <v>0.65556708598751889</v>
      </c>
      <c r="N86" s="5">
        <f t="shared" ref="N86:N90" si="39">POWER(M86, 2)</f>
        <v>0.42976820423016698</v>
      </c>
    </row>
    <row r="87" spans="1:14" x14ac:dyDescent="0.25">
      <c r="A87" s="54">
        <v>2016</v>
      </c>
      <c r="B87" s="16">
        <v>9</v>
      </c>
      <c r="C87" s="5">
        <v>68.7</v>
      </c>
      <c r="D87" s="5">
        <f t="shared" si="34"/>
        <v>9.9999999999994316E-2</v>
      </c>
      <c r="E87" s="5">
        <f t="shared" si="35"/>
        <v>9.9999999999994316E-2</v>
      </c>
      <c r="F87" s="5">
        <f t="shared" ref="F87:F90" si="40">POWER(E87,2)</f>
        <v>9.999999999998864E-3</v>
      </c>
      <c r="G87" s="5">
        <f t="shared" ref="G87:G90" si="41">C87/C86*100</f>
        <v>108.01886792452831</v>
      </c>
      <c r="H87" s="5">
        <f t="shared" ref="H87:H90" si="42">G87-$G$91</f>
        <v>2.7530781349103961</v>
      </c>
      <c r="I87" s="5">
        <f t="shared" ref="I87:I90" si="43">ABS(H87)</f>
        <v>2.7530781349103961</v>
      </c>
      <c r="J87" s="5">
        <f t="shared" ref="J87:J90" si="44">POWER(I87, 2)</f>
        <v>7.5794392169217053</v>
      </c>
      <c r="K87" s="5">
        <f t="shared" si="36"/>
        <v>12.545653761869978</v>
      </c>
      <c r="L87" s="5">
        <f t="shared" si="37"/>
        <v>-1.333836622871587E-2</v>
      </c>
      <c r="M87" s="5">
        <f t="shared" si="38"/>
        <v>1.333836622871587E-2</v>
      </c>
      <c r="N87" s="5">
        <f t="shared" si="39"/>
        <v>1.7791201365134802E-4</v>
      </c>
    </row>
    <row r="88" spans="1:14" x14ac:dyDescent="0.25">
      <c r="A88" s="54">
        <v>2017</v>
      </c>
      <c r="B88" s="16">
        <v>10</v>
      </c>
      <c r="C88" s="5">
        <v>69.900000000000006</v>
      </c>
      <c r="D88" s="5">
        <f t="shared" si="34"/>
        <v>1.2999999999999972</v>
      </c>
      <c r="E88" s="5">
        <f t="shared" si="35"/>
        <v>1.2999999999999972</v>
      </c>
      <c r="F88" s="5">
        <f t="shared" si="40"/>
        <v>1.6899999999999926</v>
      </c>
      <c r="G88" s="5">
        <f t="shared" si="41"/>
        <v>101.7467248908297</v>
      </c>
      <c r="H88" s="5">
        <f t="shared" si="42"/>
        <v>-3.5190648987882156</v>
      </c>
      <c r="I88" s="5">
        <f t="shared" si="43"/>
        <v>3.5190648987882156</v>
      </c>
      <c r="J88" s="5">
        <f t="shared" si="44"/>
        <v>12.383817761883314</v>
      </c>
      <c r="K88" s="5">
        <f t="shared" si="36"/>
        <v>12.783467446964158</v>
      </c>
      <c r="L88" s="5">
        <f t="shared" si="37"/>
        <v>0.22447531886546379</v>
      </c>
      <c r="M88" s="5">
        <f t="shared" si="38"/>
        <v>0.22447531886546379</v>
      </c>
      <c r="N88" s="5">
        <f t="shared" si="39"/>
        <v>5.0389168779751643E-2</v>
      </c>
    </row>
    <row r="89" spans="1:14" x14ac:dyDescent="0.25">
      <c r="A89" s="54">
        <v>2018</v>
      </c>
      <c r="B89" s="16">
        <v>11</v>
      </c>
      <c r="C89" s="5">
        <v>74.599999999999994</v>
      </c>
      <c r="D89" s="5">
        <f t="shared" si="34"/>
        <v>5.9999999999999858</v>
      </c>
      <c r="E89" s="5">
        <f t="shared" si="35"/>
        <v>5.9999999999999858</v>
      </c>
      <c r="F89" s="5">
        <f t="shared" si="40"/>
        <v>35.999999999999829</v>
      </c>
      <c r="G89" s="5">
        <f t="shared" si="41"/>
        <v>106.72389127324749</v>
      </c>
      <c r="H89" s="5">
        <f t="shared" si="42"/>
        <v>1.4581014836295765</v>
      </c>
      <c r="I89" s="5">
        <f>ABS(H89)</f>
        <v>1.4581014836295765</v>
      </c>
      <c r="J89" s="5">
        <f>POWER(I89, 2)</f>
        <v>2.1260599365627719</v>
      </c>
      <c r="K89" s="5">
        <f t="shared" si="36"/>
        <v>13.417266187050359</v>
      </c>
      <c r="L89" s="5">
        <f t="shared" si="37"/>
        <v>0.85827405895166464</v>
      </c>
      <c r="M89" s="5">
        <f>ABS(L89)</f>
        <v>0.85827405895166464</v>
      </c>
      <c r="N89" s="5">
        <f t="shared" si="39"/>
        <v>0.73663436026936546</v>
      </c>
    </row>
    <row r="90" spans="1:14" x14ac:dyDescent="0.25">
      <c r="A90" s="54">
        <v>2019</v>
      </c>
      <c r="B90" s="16">
        <v>12</v>
      </c>
      <c r="C90" s="5">
        <v>76</v>
      </c>
      <c r="D90" s="5">
        <f t="shared" si="34"/>
        <v>7.3999999999999915</v>
      </c>
      <c r="E90" s="5">
        <f t="shared" si="35"/>
        <v>7.3999999999999915</v>
      </c>
      <c r="F90" s="5">
        <f t="shared" si="40"/>
        <v>54.759999999999877</v>
      </c>
      <c r="G90" s="5">
        <f t="shared" si="41"/>
        <v>101.87667560321717</v>
      </c>
      <c r="H90" s="5">
        <f t="shared" si="42"/>
        <v>-3.3891141864007466</v>
      </c>
      <c r="I90" s="5">
        <f t="shared" si="43"/>
        <v>3.3891141864007466</v>
      </c>
      <c r="J90" s="5">
        <f t="shared" si="44"/>
        <v>11.486094968462794</v>
      </c>
      <c r="K90" s="5">
        <f t="shared" si="36"/>
        <v>13.542409123307198</v>
      </c>
      <c r="L90" s="5">
        <f t="shared" si="37"/>
        <v>0.98341699520850412</v>
      </c>
      <c r="M90" s="5">
        <f t="shared" si="38"/>
        <v>0.98341699520850412</v>
      </c>
      <c r="N90" s="5">
        <f t="shared" si="39"/>
        <v>0.96710898646492305</v>
      </c>
    </row>
    <row r="91" spans="1:14" x14ac:dyDescent="0.25">
      <c r="A91" s="54" t="s">
        <v>126</v>
      </c>
      <c r="B91" s="16">
        <v>13</v>
      </c>
      <c r="C91" s="5">
        <f>AVERAGE(C85:C90)</f>
        <v>68.600000000000009</v>
      </c>
      <c r="D91" s="5" t="s">
        <v>79</v>
      </c>
      <c r="E91" s="5" t="s">
        <v>79</v>
      </c>
      <c r="F91" s="5" t="s">
        <v>79</v>
      </c>
      <c r="G91" s="5">
        <f>POWER(PRODUCT(G86:G90), 1/COUNTA(G86:G90))</f>
        <v>105.26578978961791</v>
      </c>
      <c r="H91" s="5" t="s">
        <v>79</v>
      </c>
      <c r="I91" s="5" t="s">
        <v>79</v>
      </c>
      <c r="J91" s="5" t="s">
        <v>79</v>
      </c>
      <c r="K91" s="5">
        <f>AVERAGE(K85:K90)</f>
        <v>12.558992128098694</v>
      </c>
      <c r="L91" s="5" t="s">
        <v>79</v>
      </c>
      <c r="M91" s="5" t="s">
        <v>79</v>
      </c>
      <c r="N91" s="5" t="s">
        <v>79</v>
      </c>
    </row>
    <row r="92" spans="1:14" x14ac:dyDescent="0.25">
      <c r="A92" s="6"/>
    </row>
    <row r="94" spans="1:14" x14ac:dyDescent="0.25">
      <c r="A94" s="9" t="s">
        <v>83</v>
      </c>
    </row>
    <row r="95" spans="1:14" x14ac:dyDescent="0.25">
      <c r="A95" s="82" t="s">
        <v>12</v>
      </c>
      <c r="B95" s="82"/>
      <c r="C95" s="2">
        <v>2008</v>
      </c>
      <c r="D95" s="2">
        <v>2009</v>
      </c>
      <c r="E95" s="2">
        <v>2010</v>
      </c>
      <c r="F95" s="2">
        <v>2011</v>
      </c>
      <c r="G95" s="2">
        <v>2012</v>
      </c>
      <c r="H95" s="2">
        <v>2013</v>
      </c>
      <c r="I95" s="2">
        <v>2014</v>
      </c>
      <c r="J95" s="2">
        <v>2015</v>
      </c>
      <c r="K95" s="2">
        <v>2016</v>
      </c>
      <c r="L95" s="2">
        <v>2017</v>
      </c>
      <c r="M95" s="2">
        <v>2018</v>
      </c>
      <c r="N95" s="2">
        <v>2019</v>
      </c>
    </row>
    <row r="96" spans="1:14" x14ac:dyDescent="0.25">
      <c r="A96" s="17" t="s">
        <v>13</v>
      </c>
      <c r="B96" s="15" t="s">
        <v>14</v>
      </c>
      <c r="C96" s="15">
        <v>1</v>
      </c>
      <c r="D96" s="15">
        <v>2</v>
      </c>
      <c r="E96" s="15">
        <v>3</v>
      </c>
      <c r="F96" s="15">
        <v>4</v>
      </c>
      <c r="G96" s="15">
        <v>5</v>
      </c>
      <c r="H96" s="15">
        <v>6</v>
      </c>
      <c r="I96" s="15">
        <v>7</v>
      </c>
      <c r="J96" s="15">
        <v>8</v>
      </c>
      <c r="K96" s="15">
        <v>9</v>
      </c>
      <c r="L96" s="15">
        <v>10</v>
      </c>
      <c r="M96" s="15">
        <v>11</v>
      </c>
      <c r="N96" s="15">
        <v>12</v>
      </c>
    </row>
    <row r="97" spans="1:28" x14ac:dyDescent="0.25">
      <c r="A97" s="13" t="s">
        <v>17</v>
      </c>
      <c r="B97" s="16">
        <v>1</v>
      </c>
      <c r="C97" s="85" t="s">
        <v>20</v>
      </c>
      <c r="D97" s="85"/>
      <c r="E97" s="85"/>
      <c r="F97" s="85"/>
      <c r="G97" s="85"/>
      <c r="H97" s="85"/>
      <c r="I97" s="5" t="s">
        <v>79</v>
      </c>
      <c r="J97" s="5">
        <f t="shared" ref="J97:N99" si="45">J6-I6</f>
        <v>4</v>
      </c>
      <c r="K97" s="5">
        <f t="shared" si="45"/>
        <v>4.3000000000000114</v>
      </c>
      <c r="L97" s="5">
        <f t="shared" si="45"/>
        <v>0</v>
      </c>
      <c r="M97" s="5">
        <f t="shared" si="45"/>
        <v>1.0999999999999943</v>
      </c>
      <c r="N97" s="5">
        <f t="shared" si="45"/>
        <v>1.2999999999999829</v>
      </c>
    </row>
    <row r="98" spans="1:28" x14ac:dyDescent="0.25">
      <c r="A98" s="13" t="s">
        <v>18</v>
      </c>
      <c r="B98" s="16">
        <v>2</v>
      </c>
      <c r="C98" s="85"/>
      <c r="D98" s="85"/>
      <c r="E98" s="85"/>
      <c r="F98" s="85"/>
      <c r="G98" s="85"/>
      <c r="H98" s="85"/>
      <c r="I98" s="5" t="s">
        <v>79</v>
      </c>
      <c r="J98" s="5">
        <f t="shared" si="45"/>
        <v>-1.1999999999999886</v>
      </c>
      <c r="K98" s="5">
        <f t="shared" si="45"/>
        <v>3.6999999999999886</v>
      </c>
      <c r="L98" s="5">
        <f t="shared" si="45"/>
        <v>-1.8999999999999773</v>
      </c>
      <c r="M98" s="5">
        <f t="shared" si="45"/>
        <v>3.2999999999999545</v>
      </c>
      <c r="N98" s="5">
        <f t="shared" si="45"/>
        <v>2.6000000000000227</v>
      </c>
    </row>
    <row r="99" spans="1:28" x14ac:dyDescent="0.25">
      <c r="A99" s="13" t="s">
        <v>19</v>
      </c>
      <c r="B99" s="16">
        <v>3</v>
      </c>
      <c r="C99" s="85"/>
      <c r="D99" s="85"/>
      <c r="E99" s="85"/>
      <c r="F99" s="85"/>
      <c r="G99" s="85"/>
      <c r="H99" s="85"/>
      <c r="I99" s="5" t="s">
        <v>79</v>
      </c>
      <c r="J99" s="5">
        <f t="shared" si="45"/>
        <v>4.8000000000000043</v>
      </c>
      <c r="K99" s="5">
        <f t="shared" si="45"/>
        <v>5.1000000000000014</v>
      </c>
      <c r="L99" s="5">
        <f t="shared" si="45"/>
        <v>1.2000000000000028</v>
      </c>
      <c r="M99" s="5">
        <f t="shared" si="45"/>
        <v>4.6999999999999886</v>
      </c>
      <c r="N99" s="5">
        <f t="shared" si="45"/>
        <v>1.4000000000000057</v>
      </c>
    </row>
    <row r="101" spans="1:28" x14ac:dyDescent="0.25">
      <c r="A101" s="6" t="s">
        <v>26</v>
      </c>
    </row>
    <row r="102" spans="1:28" x14ac:dyDescent="0.25">
      <c r="A102" s="6"/>
    </row>
    <row r="103" spans="1:28" x14ac:dyDescent="0.25">
      <c r="A103" s="6"/>
    </row>
    <row r="104" spans="1:28" x14ac:dyDescent="0.25">
      <c r="A104" s="9" t="s">
        <v>187</v>
      </c>
    </row>
    <row r="105" spans="1:28" x14ac:dyDescent="0.25">
      <c r="A105" s="6"/>
    </row>
    <row r="106" spans="1:28" ht="60" x14ac:dyDescent="0.25">
      <c r="A106" s="82" t="s">
        <v>12</v>
      </c>
      <c r="B106" s="82"/>
      <c r="C106" s="2">
        <v>2008</v>
      </c>
      <c r="D106" s="2">
        <v>2009</v>
      </c>
      <c r="E106" s="2">
        <v>2010</v>
      </c>
      <c r="F106" s="2">
        <v>2011</v>
      </c>
      <c r="G106" s="2">
        <v>2012</v>
      </c>
      <c r="H106" s="2">
        <v>2013</v>
      </c>
      <c r="I106" s="2">
        <v>2014</v>
      </c>
      <c r="J106" s="2">
        <v>2015</v>
      </c>
      <c r="K106" s="2">
        <v>2016</v>
      </c>
      <c r="L106" s="2">
        <v>2017</v>
      </c>
      <c r="M106" s="2">
        <v>2018</v>
      </c>
      <c r="N106" s="2">
        <v>2019</v>
      </c>
      <c r="O106" s="2" t="s">
        <v>188</v>
      </c>
      <c r="P106" s="2" t="s">
        <v>164</v>
      </c>
      <c r="Q106" s="2" t="s">
        <v>165</v>
      </c>
      <c r="R106" s="2" t="s">
        <v>166</v>
      </c>
      <c r="S106" s="2" t="s">
        <v>116</v>
      </c>
      <c r="T106" s="2" t="s">
        <v>117</v>
      </c>
      <c r="U106" s="2" t="s">
        <v>173</v>
      </c>
      <c r="V106" s="2" t="s">
        <v>118</v>
      </c>
      <c r="W106" s="2" t="s">
        <v>167</v>
      </c>
      <c r="X106" s="2" t="s">
        <v>125</v>
      </c>
      <c r="Y106" s="2" t="s">
        <v>172</v>
      </c>
      <c r="Z106" s="2" t="s">
        <v>128</v>
      </c>
      <c r="AA106" s="2" t="s">
        <v>130</v>
      </c>
      <c r="AB106" s="2" t="s">
        <v>131</v>
      </c>
    </row>
    <row r="107" spans="1:28" x14ac:dyDescent="0.25">
      <c r="A107" s="17" t="s">
        <v>13</v>
      </c>
      <c r="B107" s="15" t="s">
        <v>14</v>
      </c>
      <c r="C107" s="15">
        <v>1</v>
      </c>
      <c r="D107" s="15">
        <v>2</v>
      </c>
      <c r="E107" s="15">
        <v>3</v>
      </c>
      <c r="F107" s="15">
        <v>4</v>
      </c>
      <c r="G107" s="15">
        <v>5</v>
      </c>
      <c r="H107" s="15">
        <v>6</v>
      </c>
      <c r="I107" s="15">
        <v>7</v>
      </c>
      <c r="J107" s="15">
        <v>8</v>
      </c>
      <c r="K107" s="15">
        <v>9</v>
      </c>
      <c r="L107" s="15">
        <v>10</v>
      </c>
      <c r="M107" s="15">
        <v>11</v>
      </c>
      <c r="N107" s="15">
        <v>12</v>
      </c>
      <c r="O107" s="15">
        <v>13</v>
      </c>
      <c r="P107" s="15">
        <v>14</v>
      </c>
      <c r="Q107" s="15">
        <v>15</v>
      </c>
      <c r="R107" s="15">
        <v>16</v>
      </c>
      <c r="S107" s="15">
        <v>17</v>
      </c>
      <c r="T107" s="15">
        <v>18</v>
      </c>
      <c r="U107" s="15">
        <v>19</v>
      </c>
      <c r="V107" s="15">
        <v>20</v>
      </c>
      <c r="W107" s="15">
        <v>21</v>
      </c>
      <c r="X107" s="15">
        <v>23</v>
      </c>
      <c r="Y107" s="15">
        <v>24</v>
      </c>
      <c r="Z107" s="15">
        <v>25</v>
      </c>
      <c r="AA107" s="15">
        <v>26</v>
      </c>
      <c r="AB107" s="15">
        <v>27</v>
      </c>
    </row>
    <row r="108" spans="1:28" ht="34.5" x14ac:dyDescent="0.25">
      <c r="A108" s="39" t="s">
        <v>82</v>
      </c>
      <c r="B108" s="16">
        <v>1</v>
      </c>
      <c r="C108" s="5" t="s">
        <v>79</v>
      </c>
      <c r="D108" s="5">
        <f>D5/C5*100</f>
        <v>101.1665984445354</v>
      </c>
      <c r="E108" s="5">
        <f t="shared" ref="E108:N108" si="46">E5/D5*100</f>
        <v>102.20513857980981</v>
      </c>
      <c r="F108" s="5">
        <f t="shared" si="46"/>
        <v>101.22723673792558</v>
      </c>
      <c r="G108" s="5">
        <f t="shared" si="46"/>
        <v>101.31012905748926</v>
      </c>
      <c r="H108" s="5">
        <f t="shared" si="46"/>
        <v>101.0229685388921</v>
      </c>
      <c r="I108" s="5">
        <f t="shared" si="46"/>
        <v>100.64959877722583</v>
      </c>
      <c r="J108" s="5">
        <f t="shared" si="46"/>
        <v>101.42369020501138</v>
      </c>
      <c r="K108" s="5">
        <f t="shared" si="46"/>
        <v>102.48923825566163</v>
      </c>
      <c r="L108" s="5">
        <f t="shared" si="46"/>
        <v>99.853907962016052</v>
      </c>
      <c r="M108" s="5">
        <f t="shared" si="46"/>
        <v>101.68251645940016</v>
      </c>
      <c r="N108" s="5">
        <f t="shared" si="46"/>
        <v>100.93525179856115</v>
      </c>
      <c r="O108" s="5">
        <f>POWER(PRODUCT(D108:N108), 1/COUNTA(D108:N108))</f>
        <v>101.26735637643819</v>
      </c>
      <c r="P108" s="42">
        <f>QUARTILE(D108:N108,4)</f>
        <v>102.48923825566163</v>
      </c>
      <c r="Q108" s="42">
        <f>QUARTILE(D108:N108, 0)</f>
        <v>99.853907962016052</v>
      </c>
      <c r="R108" s="42">
        <f>P108-Q108</f>
        <v>2.6353302936455805</v>
      </c>
      <c r="S108" s="42">
        <f>QUARTILE(D108:N108,1)</f>
        <v>100.97911016872663</v>
      </c>
      <c r="T108" s="42">
        <f>QUARTILE(D108:N108, 3)</f>
        <v>101.55310333220578</v>
      </c>
      <c r="U108" s="42">
        <f>QUARTILE(D108:N108, 2)</f>
        <v>101.22723673792558</v>
      </c>
      <c r="V108" s="42" t="s">
        <v>214</v>
      </c>
      <c r="W108" s="42">
        <f>SUM(E16:E27)/COUNTA(E16:E27)</f>
        <v>19.308333333333326</v>
      </c>
      <c r="X108" s="42">
        <f>SUM(F16:F27)/COUNTA(F16:F27)</f>
        <v>518.84576388888888</v>
      </c>
      <c r="Y108" s="42">
        <f>SQRT(X108)</f>
        <v>22.778186141325847</v>
      </c>
      <c r="Z108" s="42">
        <f>R108/O108*100</f>
        <v>2.6023492544323403</v>
      </c>
      <c r="AA108" s="42">
        <f>W108/O108*100</f>
        <v>19.066690416563283</v>
      </c>
      <c r="AB108" s="42">
        <f>Y108/O108*100</f>
        <v>22.493118173889286</v>
      </c>
    </row>
    <row r="109" spans="1:28" ht="34.5" x14ac:dyDescent="0.25">
      <c r="A109" s="13" t="s">
        <v>17</v>
      </c>
      <c r="B109" s="16">
        <v>2</v>
      </c>
      <c r="C109" s="86" t="s">
        <v>20</v>
      </c>
      <c r="D109" s="87"/>
      <c r="E109" s="87"/>
      <c r="F109" s="87"/>
      <c r="G109" s="87"/>
      <c r="H109" s="88"/>
      <c r="I109" s="5" t="s">
        <v>79</v>
      </c>
      <c r="J109" s="5">
        <f>J6/I6*100</f>
        <v>102.58064516129033</v>
      </c>
      <c r="K109" s="5">
        <f t="shared" ref="K109:N109" si="47">K6/J6*100</f>
        <v>102.70440251572327</v>
      </c>
      <c r="L109" s="5">
        <f t="shared" si="47"/>
        <v>100</v>
      </c>
      <c r="M109" s="5">
        <f t="shared" si="47"/>
        <v>100.67360685854257</v>
      </c>
      <c r="N109" s="5">
        <f t="shared" si="47"/>
        <v>100.79075425790754</v>
      </c>
      <c r="O109" s="5">
        <f>POWER(PRODUCT(J109:N109), 1/COUNTA(J109:N109))</f>
        <v>101.34402808592431</v>
      </c>
      <c r="P109" s="42">
        <f>QUARTILE(J109:N109,4)</f>
        <v>102.70440251572327</v>
      </c>
      <c r="Q109" s="42">
        <f>QUARTILE(J109:N109, 0)</f>
        <v>100</v>
      </c>
      <c r="R109" s="42">
        <f>P109-Q109</f>
        <v>2.7044025157232738</v>
      </c>
      <c r="S109" s="42">
        <f>QUARTILE(J109:N109,1)</f>
        <v>100.67360685854257</v>
      </c>
      <c r="T109" s="42">
        <f>QUARTILE(J109:N109, 3)</f>
        <v>102.58064516129033</v>
      </c>
      <c r="U109" s="42">
        <f>QUARTILE(J109:N109, 2)</f>
        <v>100.79075425790754</v>
      </c>
      <c r="V109" s="42" t="s">
        <v>215</v>
      </c>
      <c r="W109" s="42">
        <f>SUM(E43:E48)/COUNTA(E43:E48)</f>
        <v>3.1888888888888922</v>
      </c>
      <c r="X109" s="42">
        <f>SUM(F43:F48)/COUNTA(F43:F48)</f>
        <v>13.424722222222222</v>
      </c>
      <c r="Y109" s="42">
        <f t="shared" ref="Y109" si="48">SQRT(X109)</f>
        <v>3.6639762857068576</v>
      </c>
      <c r="Z109" s="42">
        <f t="shared" ref="Z109" si="49">R109/O109*100</f>
        <v>2.6685366338807377</v>
      </c>
      <c r="AA109" s="42">
        <f t="shared" ref="AA109" si="50">W109/O109*100</f>
        <v>3.1465977316247979</v>
      </c>
      <c r="AB109" s="42">
        <f t="shared" ref="AB109" si="51">Y109/O109*100</f>
        <v>3.6153845025780535</v>
      </c>
    </row>
    <row r="110" spans="1:28" ht="34.5" x14ac:dyDescent="0.25">
      <c r="A110" s="13" t="s">
        <v>18</v>
      </c>
      <c r="B110" s="16">
        <v>3</v>
      </c>
      <c r="C110" s="89"/>
      <c r="D110" s="90"/>
      <c r="E110" s="90"/>
      <c r="F110" s="90"/>
      <c r="G110" s="90"/>
      <c r="H110" s="91"/>
      <c r="I110" s="5" t="s">
        <v>79</v>
      </c>
      <c r="J110" s="5">
        <f t="shared" ref="J110:N111" si="52">J7/I7*100</f>
        <v>99.616613418530349</v>
      </c>
      <c r="K110" s="5">
        <f t="shared" si="52"/>
        <v>101.18665811417576</v>
      </c>
      <c r="L110" s="5">
        <f t="shared" si="52"/>
        <v>99.397781299524567</v>
      </c>
      <c r="M110" s="5">
        <f t="shared" si="52"/>
        <v>101.05229591836734</v>
      </c>
      <c r="N110" s="5">
        <f t="shared" si="52"/>
        <v>100.82044809088042</v>
      </c>
      <c r="O110" s="5">
        <f t="shared" ref="O110:O111" si="53">POWER(PRODUCT(J110:N110), 1/COUNTA(J110:N110))</f>
        <v>100.4119277652171</v>
      </c>
      <c r="P110" s="42">
        <f t="shared" ref="P110" si="54">QUARTILE(J110:N110,4)</f>
        <v>101.18665811417576</v>
      </c>
      <c r="Q110" s="42">
        <f t="shared" ref="Q110" si="55">QUARTILE(J110:N110, 0)</f>
        <v>99.397781299524567</v>
      </c>
      <c r="R110" s="42">
        <f>P110-Q110</f>
        <v>1.7888768146511893</v>
      </c>
      <c r="S110" s="42">
        <f t="shared" ref="S110" si="56">QUARTILE(J110:N110,1)</f>
        <v>99.616613418530349</v>
      </c>
      <c r="T110" s="42">
        <f t="shared" ref="T110" si="57">QUARTILE(J110:N110, 3)</f>
        <v>101.05229591836734</v>
      </c>
      <c r="U110" s="42">
        <f t="shared" ref="U110" si="58">QUARTILE(J110:N110, 2)</f>
        <v>100.82044809088042</v>
      </c>
      <c r="V110" s="42" t="s">
        <v>216</v>
      </c>
      <c r="W110" s="42">
        <f>SUM(E64:E69)/COUNTA(E64:E69)</f>
        <v>2.2499999999999907</v>
      </c>
      <c r="X110" s="42">
        <f>SUM(F64:F69)/COUNTA(F64:F69)</f>
        <v>6.715833333333296</v>
      </c>
      <c r="Y110" s="42">
        <f>SQRT(X110)</f>
        <v>2.5914924914676671</v>
      </c>
      <c r="Z110" s="42">
        <f>R110/O110*100</f>
        <v>1.7815381643044799</v>
      </c>
      <c r="AA110" s="42">
        <f>W110/O110*100</f>
        <v>2.2407696476666943</v>
      </c>
      <c r="AB110" s="42">
        <f>Y110/O110*100</f>
        <v>2.580861207571961</v>
      </c>
    </row>
    <row r="111" spans="1:28" ht="34.5" x14ac:dyDescent="0.25">
      <c r="A111" s="13" t="s">
        <v>19</v>
      </c>
      <c r="B111" s="16">
        <v>4</v>
      </c>
      <c r="C111" s="92"/>
      <c r="D111" s="93"/>
      <c r="E111" s="93"/>
      <c r="F111" s="93"/>
      <c r="G111" s="93"/>
      <c r="H111" s="94"/>
      <c r="I111" s="5" t="s">
        <v>79</v>
      </c>
      <c r="J111" s="5">
        <f t="shared" si="52"/>
        <v>108.16326530612245</v>
      </c>
      <c r="K111" s="5">
        <f t="shared" si="52"/>
        <v>108.01886792452831</v>
      </c>
      <c r="L111" s="5">
        <f t="shared" si="52"/>
        <v>101.7467248908297</v>
      </c>
      <c r="M111" s="5">
        <f t="shared" si="52"/>
        <v>106.72389127324749</v>
      </c>
      <c r="N111" s="5">
        <f t="shared" si="52"/>
        <v>101.87667560321717</v>
      </c>
      <c r="O111" s="5">
        <f t="shared" si="53"/>
        <v>105.26578978961791</v>
      </c>
      <c r="P111" s="42">
        <f>QUARTILE(J111:N111,4)</f>
        <v>108.16326530612245</v>
      </c>
      <c r="Q111" s="42">
        <f>QUARTILE(J111:N111, 0)</f>
        <v>101.7467248908297</v>
      </c>
      <c r="R111" s="42">
        <f>P111-Q111</f>
        <v>6.4165404152927579</v>
      </c>
      <c r="S111" s="42">
        <f>QUARTILE(J111:N111,1)</f>
        <v>101.87667560321717</v>
      </c>
      <c r="T111" s="42">
        <f>QUARTILE(J111:N111, 3)</f>
        <v>108.01886792452831</v>
      </c>
      <c r="U111" s="42">
        <f>QUARTILE(J111:N111, 2)</f>
        <v>106.72389127324749</v>
      </c>
      <c r="V111" s="42" t="s">
        <v>217</v>
      </c>
      <c r="W111" s="42">
        <f>SUM(E85:E90)/COUNTA(E85:E90)</f>
        <v>4.9333333333333309</v>
      </c>
      <c r="X111" s="42">
        <f>SUM(F85:F90)/COUNTA(F85:F90)</f>
        <v>35.583333333333336</v>
      </c>
      <c r="Y111" s="42">
        <f>SQRT(X111)</f>
        <v>5.9651767227244274</v>
      </c>
      <c r="Z111" s="42">
        <f>R111/O111*100</f>
        <v>6.0955609872084056</v>
      </c>
      <c r="AA111" s="42">
        <f>W111/O111*100</f>
        <v>4.6865494888633732</v>
      </c>
      <c r="AB111" s="42">
        <f>Y111/O111*100</f>
        <v>5.666776200175109</v>
      </c>
    </row>
    <row r="112" spans="1:28" x14ac:dyDescent="0.25">
      <c r="A112" s="6"/>
    </row>
    <row r="114" spans="1:14" x14ac:dyDescent="0.25">
      <c r="A114" s="9" t="s">
        <v>84</v>
      </c>
    </row>
    <row r="115" spans="1:14" x14ac:dyDescent="0.25">
      <c r="A115" s="82" t="s">
        <v>12</v>
      </c>
      <c r="B115" s="82"/>
      <c r="C115" s="2">
        <v>2008</v>
      </c>
      <c r="D115" s="2">
        <v>2009</v>
      </c>
      <c r="E115" s="2">
        <v>2010</v>
      </c>
      <c r="F115" s="2">
        <v>2011</v>
      </c>
      <c r="G115" s="2">
        <v>2012</v>
      </c>
      <c r="H115" s="2">
        <v>2013</v>
      </c>
      <c r="I115" s="2">
        <v>2014</v>
      </c>
      <c r="J115" s="2">
        <v>2015</v>
      </c>
      <c r="K115" s="2">
        <v>2016</v>
      </c>
      <c r="L115" s="2">
        <v>2017</v>
      </c>
      <c r="M115" s="2">
        <v>2018</v>
      </c>
      <c r="N115" s="2">
        <v>2019</v>
      </c>
    </row>
    <row r="116" spans="1:14" x14ac:dyDescent="0.25">
      <c r="A116" s="17" t="s">
        <v>13</v>
      </c>
      <c r="B116" s="15" t="s">
        <v>14</v>
      </c>
      <c r="C116" s="15">
        <v>1</v>
      </c>
      <c r="D116" s="15">
        <v>2</v>
      </c>
      <c r="E116" s="15">
        <v>3</v>
      </c>
      <c r="F116" s="15">
        <v>4</v>
      </c>
      <c r="G116" s="15">
        <v>5</v>
      </c>
      <c r="H116" s="15">
        <v>6</v>
      </c>
      <c r="I116" s="15">
        <v>7</v>
      </c>
      <c r="J116" s="15">
        <v>8</v>
      </c>
      <c r="K116" s="15">
        <v>9</v>
      </c>
      <c r="L116" s="15">
        <v>10</v>
      </c>
      <c r="M116" s="15">
        <v>11</v>
      </c>
      <c r="N116" s="15">
        <v>12</v>
      </c>
    </row>
    <row r="117" spans="1:14" x14ac:dyDescent="0.25">
      <c r="A117" s="13" t="s">
        <v>18</v>
      </c>
      <c r="B117" s="16">
        <v>1</v>
      </c>
      <c r="C117" s="85" t="s">
        <v>20</v>
      </c>
      <c r="D117" s="85"/>
      <c r="E117" s="85"/>
      <c r="F117" s="85"/>
      <c r="G117" s="85"/>
      <c r="H117" s="85"/>
      <c r="I117" s="5">
        <f t="shared" ref="I117:N118" si="59">I7-I$6</f>
        <v>158</v>
      </c>
      <c r="J117" s="5">
        <f t="shared" si="59"/>
        <v>152.80000000000001</v>
      </c>
      <c r="K117" s="5">
        <f t="shared" si="59"/>
        <v>152.19999999999999</v>
      </c>
      <c r="L117" s="5">
        <f t="shared" si="59"/>
        <v>150.30000000000001</v>
      </c>
      <c r="M117" s="5">
        <f t="shared" si="59"/>
        <v>152.49999999999997</v>
      </c>
      <c r="N117" s="5">
        <f t="shared" si="59"/>
        <v>153.80000000000001</v>
      </c>
    </row>
    <row r="118" spans="1:14" x14ac:dyDescent="0.25">
      <c r="A118" s="13" t="s">
        <v>19</v>
      </c>
      <c r="B118" s="16">
        <v>2</v>
      </c>
      <c r="C118" s="85"/>
      <c r="D118" s="85"/>
      <c r="E118" s="85"/>
      <c r="F118" s="85"/>
      <c r="G118" s="85"/>
      <c r="H118" s="85"/>
      <c r="I118" s="5">
        <f t="shared" si="59"/>
        <v>-96.2</v>
      </c>
      <c r="J118" s="5">
        <f t="shared" si="59"/>
        <v>-95.4</v>
      </c>
      <c r="K118" s="5">
        <f t="shared" si="59"/>
        <v>-94.600000000000009</v>
      </c>
      <c r="L118" s="5">
        <f t="shared" si="59"/>
        <v>-93.4</v>
      </c>
      <c r="M118" s="5">
        <f t="shared" si="59"/>
        <v>-89.800000000000011</v>
      </c>
      <c r="N118" s="5">
        <f t="shared" si="59"/>
        <v>-89.699999999999989</v>
      </c>
    </row>
    <row r="120" spans="1:14" x14ac:dyDescent="0.25">
      <c r="A120" s="6" t="s">
        <v>26</v>
      </c>
    </row>
    <row r="122" spans="1:14" x14ac:dyDescent="0.25">
      <c r="A122" s="9" t="s">
        <v>80</v>
      </c>
    </row>
    <row r="123" spans="1:14" x14ac:dyDescent="0.25">
      <c r="A123" s="82" t="s">
        <v>12</v>
      </c>
      <c r="B123" s="82"/>
      <c r="C123" s="2">
        <v>2008</v>
      </c>
      <c r="D123" s="2">
        <v>2009</v>
      </c>
      <c r="E123" s="2">
        <v>2010</v>
      </c>
      <c r="F123" s="2">
        <v>2011</v>
      </c>
      <c r="G123" s="2">
        <v>2012</v>
      </c>
      <c r="H123" s="2">
        <v>2013</v>
      </c>
      <c r="I123" s="2">
        <v>2014</v>
      </c>
      <c r="J123" s="2">
        <v>2015</v>
      </c>
      <c r="K123" s="2">
        <v>2016</v>
      </c>
      <c r="L123" s="2">
        <v>2017</v>
      </c>
      <c r="M123" s="2">
        <v>2018</v>
      </c>
      <c r="N123" s="2">
        <v>2019</v>
      </c>
    </row>
    <row r="124" spans="1:14" x14ac:dyDescent="0.25">
      <c r="A124" s="17" t="s">
        <v>13</v>
      </c>
      <c r="B124" s="15" t="s">
        <v>14</v>
      </c>
      <c r="C124" s="15">
        <v>1</v>
      </c>
      <c r="D124" s="15">
        <v>2</v>
      </c>
      <c r="E124" s="15">
        <v>3</v>
      </c>
      <c r="F124" s="15">
        <v>4</v>
      </c>
      <c r="G124" s="15">
        <v>5</v>
      </c>
      <c r="H124" s="15">
        <v>6</v>
      </c>
      <c r="I124" s="15">
        <v>7</v>
      </c>
      <c r="J124" s="15">
        <v>8</v>
      </c>
      <c r="K124" s="15">
        <v>9</v>
      </c>
      <c r="L124" s="15">
        <v>10</v>
      </c>
      <c r="M124" s="15">
        <v>11</v>
      </c>
      <c r="N124" s="15">
        <v>12</v>
      </c>
    </row>
    <row r="125" spans="1:14" x14ac:dyDescent="0.25">
      <c r="A125" s="13" t="s">
        <v>17</v>
      </c>
      <c r="B125" s="16">
        <v>1</v>
      </c>
      <c r="C125" s="85" t="s">
        <v>20</v>
      </c>
      <c r="D125" s="85"/>
      <c r="E125" s="85"/>
      <c r="F125" s="85"/>
      <c r="G125" s="85"/>
      <c r="H125" s="85"/>
      <c r="I125" s="5">
        <f>(I6/$I6)*100</f>
        <v>100</v>
      </c>
      <c r="J125" s="5">
        <f t="shared" ref="J125:M125" si="60">(J6/$I6)*100</f>
        <v>102.58064516129033</v>
      </c>
      <c r="K125" s="5">
        <f t="shared" si="60"/>
        <v>105.35483870967744</v>
      </c>
      <c r="L125" s="5">
        <f t="shared" si="60"/>
        <v>105.35483870967744</v>
      </c>
      <c r="M125" s="5">
        <f t="shared" si="60"/>
        <v>106.06451612903227</v>
      </c>
      <c r="N125" s="5">
        <f>(N6/$I6)*100</f>
        <v>106.9032258064516</v>
      </c>
    </row>
    <row r="126" spans="1:14" x14ac:dyDescent="0.25">
      <c r="A126" s="13" t="s">
        <v>18</v>
      </c>
      <c r="B126" s="16">
        <v>2</v>
      </c>
      <c r="C126" s="85"/>
      <c r="D126" s="85"/>
      <c r="E126" s="85"/>
      <c r="F126" s="85"/>
      <c r="G126" s="85"/>
      <c r="H126" s="85"/>
      <c r="I126" s="5">
        <f>(I7/$I7)*100</f>
        <v>100</v>
      </c>
      <c r="J126" s="5">
        <f t="shared" ref="J126:M127" si="61">(J7/$I7)*100</f>
        <v>99.616613418530349</v>
      </c>
      <c r="K126" s="5">
        <f t="shared" si="61"/>
        <v>100.79872204472844</v>
      </c>
      <c r="L126" s="5">
        <f t="shared" si="61"/>
        <v>100.19169329073483</v>
      </c>
      <c r="M126" s="5">
        <f t="shared" si="61"/>
        <v>101.24600638977634</v>
      </c>
      <c r="N126" s="5">
        <f>(N7/$I7)*100</f>
        <v>102.07667731629392</v>
      </c>
    </row>
    <row r="127" spans="1:14" x14ac:dyDescent="0.25">
      <c r="A127" s="13" t="s">
        <v>19</v>
      </c>
      <c r="B127" s="16">
        <v>3</v>
      </c>
      <c r="C127" s="85"/>
      <c r="D127" s="85"/>
      <c r="E127" s="85"/>
      <c r="F127" s="85"/>
      <c r="G127" s="85"/>
      <c r="H127" s="85"/>
      <c r="I127" s="5">
        <f>(I8/$I8)*100</f>
        <v>100</v>
      </c>
      <c r="J127" s="5">
        <f t="shared" si="61"/>
        <v>108.16326530612245</v>
      </c>
      <c r="K127" s="5">
        <f t="shared" si="61"/>
        <v>116.83673469387756</v>
      </c>
      <c r="L127" s="5">
        <f t="shared" si="61"/>
        <v>118.87755102040818</v>
      </c>
      <c r="M127" s="5">
        <f t="shared" si="61"/>
        <v>126.87074829931973</v>
      </c>
      <c r="N127" s="5">
        <f>(N8/$I8)*100</f>
        <v>129.25170068027211</v>
      </c>
    </row>
    <row r="128" spans="1:14" x14ac:dyDescent="0.25">
      <c r="A128" s="40"/>
      <c r="B128" s="40"/>
      <c r="C128" s="40"/>
      <c r="D128" s="40"/>
      <c r="E128" s="40"/>
      <c r="F128" s="40"/>
      <c r="G128" s="40"/>
      <c r="H128" s="40"/>
      <c r="I128" s="41"/>
      <c r="J128" s="41"/>
      <c r="K128" s="41"/>
      <c r="L128" s="41"/>
      <c r="M128" s="41"/>
      <c r="N128" s="41"/>
    </row>
    <row r="129" spans="1:28" x14ac:dyDescent="0.25">
      <c r="A129" s="6" t="s">
        <v>26</v>
      </c>
      <c r="B129" s="40"/>
      <c r="C129" s="40"/>
      <c r="D129" s="40"/>
      <c r="E129" s="40"/>
      <c r="F129" s="40"/>
      <c r="G129" s="40"/>
      <c r="H129" s="40"/>
      <c r="I129" s="41"/>
      <c r="J129" s="41"/>
      <c r="K129" s="41"/>
      <c r="L129" s="41"/>
      <c r="M129" s="41"/>
      <c r="N129" s="41"/>
    </row>
    <row r="131" spans="1:28" x14ac:dyDescent="0.25">
      <c r="A131" s="9" t="s">
        <v>81</v>
      </c>
    </row>
    <row r="132" spans="1:28" ht="60" x14ac:dyDescent="0.25">
      <c r="A132" s="82" t="s">
        <v>12</v>
      </c>
      <c r="B132" s="82"/>
      <c r="C132" s="2">
        <v>2008</v>
      </c>
      <c r="D132" s="2">
        <v>2009</v>
      </c>
      <c r="E132" s="2">
        <v>2010</v>
      </c>
      <c r="F132" s="2">
        <v>2011</v>
      </c>
      <c r="G132" s="2">
        <v>2012</v>
      </c>
      <c r="H132" s="2">
        <v>2013</v>
      </c>
      <c r="I132" s="2">
        <v>2014</v>
      </c>
      <c r="J132" s="2">
        <v>2015</v>
      </c>
      <c r="K132" s="2">
        <v>2016</v>
      </c>
      <c r="L132" s="2">
        <v>2017</v>
      </c>
      <c r="M132" s="2">
        <v>2018</v>
      </c>
      <c r="N132" s="2">
        <v>2019</v>
      </c>
      <c r="O132" s="2" t="s">
        <v>96</v>
      </c>
      <c r="P132" s="2" t="s">
        <v>164</v>
      </c>
      <c r="Q132" s="2" t="s">
        <v>165</v>
      </c>
      <c r="R132" s="2" t="s">
        <v>166</v>
      </c>
      <c r="S132" s="2" t="s">
        <v>116</v>
      </c>
      <c r="T132" s="2" t="s">
        <v>117</v>
      </c>
      <c r="U132" s="2" t="s">
        <v>173</v>
      </c>
      <c r="V132" s="2" t="s">
        <v>118</v>
      </c>
      <c r="W132" s="2" t="s">
        <v>167</v>
      </c>
      <c r="X132" s="2" t="s">
        <v>125</v>
      </c>
      <c r="Y132" s="2" t="s">
        <v>172</v>
      </c>
      <c r="Z132" s="2" t="s">
        <v>128</v>
      </c>
      <c r="AA132" s="2" t="s">
        <v>130</v>
      </c>
      <c r="AB132" s="2" t="s">
        <v>131</v>
      </c>
    </row>
    <row r="133" spans="1:28" x14ac:dyDescent="0.25">
      <c r="A133" s="17" t="s">
        <v>13</v>
      </c>
      <c r="B133" s="15" t="s">
        <v>14</v>
      </c>
      <c r="C133" s="15">
        <v>1</v>
      </c>
      <c r="D133" s="15">
        <v>2</v>
      </c>
      <c r="E133" s="15">
        <v>3</v>
      </c>
      <c r="F133" s="15">
        <v>4</v>
      </c>
      <c r="G133" s="15">
        <v>5</v>
      </c>
      <c r="H133" s="15">
        <v>6</v>
      </c>
      <c r="I133" s="15">
        <v>7</v>
      </c>
      <c r="J133" s="15">
        <v>8</v>
      </c>
      <c r="K133" s="15">
        <v>9</v>
      </c>
      <c r="L133" s="15">
        <v>10</v>
      </c>
      <c r="M133" s="15">
        <v>11</v>
      </c>
      <c r="N133" s="15">
        <v>12</v>
      </c>
      <c r="O133" s="15">
        <v>13</v>
      </c>
      <c r="P133" s="15">
        <v>14</v>
      </c>
      <c r="Q133" s="15">
        <v>15</v>
      </c>
      <c r="R133" s="15">
        <v>16</v>
      </c>
      <c r="S133" s="15">
        <v>17</v>
      </c>
      <c r="T133" s="15">
        <v>18</v>
      </c>
      <c r="U133" s="15">
        <v>19</v>
      </c>
      <c r="V133" s="15">
        <v>20</v>
      </c>
      <c r="W133" s="15">
        <v>21</v>
      </c>
      <c r="X133" s="15">
        <v>23</v>
      </c>
      <c r="Y133" s="15">
        <v>24</v>
      </c>
      <c r="Z133" s="15">
        <v>25</v>
      </c>
      <c r="AA133" s="15">
        <v>26</v>
      </c>
      <c r="AB133" s="15">
        <v>27</v>
      </c>
    </row>
    <row r="134" spans="1:28" ht="35.25" x14ac:dyDescent="0.25">
      <c r="A134" s="13" t="s">
        <v>17</v>
      </c>
      <c r="B134" s="38">
        <v>1</v>
      </c>
      <c r="C134" s="85" t="s">
        <v>20</v>
      </c>
      <c r="D134" s="85"/>
      <c r="E134" s="85"/>
      <c r="F134" s="85"/>
      <c r="G134" s="85"/>
      <c r="H134" s="85"/>
      <c r="I134" s="5">
        <f>(I6/I$5)*100</f>
        <v>29.422930903568716</v>
      </c>
      <c r="J134" s="5">
        <f t="shared" ref="J134:N134" si="62">(J6/J$5)*100</f>
        <v>29.758562605277938</v>
      </c>
      <c r="K134" s="5">
        <f t="shared" si="62"/>
        <v>29.821037253469683</v>
      </c>
      <c r="L134" s="5">
        <f t="shared" si="62"/>
        <v>29.864667154352603</v>
      </c>
      <c r="M134" s="5">
        <f t="shared" si="62"/>
        <v>29.568345323741006</v>
      </c>
      <c r="N134" s="5">
        <f t="shared" si="62"/>
        <v>29.526015680684242</v>
      </c>
      <c r="O134" s="5">
        <f>AVERAGE(I134:N134)</f>
        <v>29.660259820182365</v>
      </c>
      <c r="P134" s="5">
        <f>QUARTILE(I134:N134,4)</f>
        <v>29.864667154352603</v>
      </c>
      <c r="Q134" s="5">
        <f>QUARTILE(I134:N134, 0)</f>
        <v>29.422930903568716</v>
      </c>
      <c r="R134" s="5">
        <f>P134-Q134</f>
        <v>0.44173625078388667</v>
      </c>
      <c r="S134" s="5">
        <f>QUARTILE(I134:N134,1)</f>
        <v>29.536598091448433</v>
      </c>
      <c r="T134" s="5">
        <f>QUARTILE(I134:N134, 3)</f>
        <v>29.805418591421748</v>
      </c>
      <c r="U134" s="5">
        <f>QUARTILE(I134:N134, 2)</f>
        <v>29.663453964509472</v>
      </c>
      <c r="V134" s="5" t="s">
        <v>218</v>
      </c>
      <c r="W134" s="5">
        <f>SUM(M43:M48)/COUNTA(M43:M48)</f>
        <v>0.15449585085104309</v>
      </c>
      <c r="X134" s="5">
        <f>SUM(K43:K48)/COUNTA(K43:K48)</f>
        <v>29.660259820182365</v>
      </c>
      <c r="Y134" s="5">
        <f>SQRT(X134)</f>
        <v>5.446123375409555</v>
      </c>
      <c r="Z134" s="5">
        <f>R134/O134*100</f>
        <v>1.4893202334097781</v>
      </c>
      <c r="AA134" s="5">
        <f>W134/O134*100</f>
        <v>0.52088502186995733</v>
      </c>
      <c r="AB134" s="5">
        <f>Y134/O134*100</f>
        <v>18.36168465288943</v>
      </c>
    </row>
    <row r="135" spans="1:28" ht="35.25" x14ac:dyDescent="0.25">
      <c r="A135" s="13" t="s">
        <v>18</v>
      </c>
      <c r="B135" s="16">
        <v>2</v>
      </c>
      <c r="C135" s="85"/>
      <c r="D135" s="85"/>
      <c r="E135" s="85"/>
      <c r="F135" s="85"/>
      <c r="G135" s="85"/>
      <c r="H135" s="85"/>
      <c r="I135" s="5">
        <f>(I7/I$5)*100</f>
        <v>59.415337889141995</v>
      </c>
      <c r="J135" s="5">
        <f t="shared" ref="J135:N136" si="63">(J7/J$5)*100</f>
        <v>58.356728429721137</v>
      </c>
      <c r="K135" s="5">
        <f t="shared" si="63"/>
        <v>57.615047479912342</v>
      </c>
      <c r="L135" s="5">
        <f t="shared" si="63"/>
        <v>57.351865398683252</v>
      </c>
      <c r="M135" s="5">
        <f t="shared" si="63"/>
        <v>56.99640287769784</v>
      </c>
      <c r="N135" s="5">
        <f t="shared" si="63"/>
        <v>56.931575196008545</v>
      </c>
      <c r="O135" s="106">
        <f t="shared" ref="O135:O136" si="64">AVERAGE(I135:N135)</f>
        <v>57.777826211860855</v>
      </c>
      <c r="P135" s="5">
        <f t="shared" ref="P135:P136" si="65">QUARTILE(I135:N135,4)</f>
        <v>59.415337889141995</v>
      </c>
      <c r="Q135" s="5">
        <f t="shared" ref="Q135:Q136" si="66">QUARTILE(I135:N135, 0)</f>
        <v>56.931575196008545</v>
      </c>
      <c r="R135" s="5">
        <f>P135-Q135</f>
        <v>2.4837626931334498</v>
      </c>
      <c r="S135" s="5">
        <f t="shared" ref="S135:S136" si="67">QUARTILE(I135:N135,1)</f>
        <v>57.085268507944193</v>
      </c>
      <c r="T135" s="5">
        <f t="shared" ref="T135:T136" si="68">QUARTILE(I135:N135, 3)</f>
        <v>58.171308192268938</v>
      </c>
      <c r="U135" s="5">
        <f>QUARTILE(I135:N135, 2)</f>
        <v>57.483456439297797</v>
      </c>
      <c r="V135" s="5" t="s">
        <v>219</v>
      </c>
      <c r="W135" s="5">
        <f>SUM(K64:K69)/COUNTA(K64:K69)</f>
        <v>57.777826211860855</v>
      </c>
      <c r="X135" s="5">
        <f>SUM(N64:N69)/COUNTA(N64:N69)</f>
        <v>0.7585458350031411</v>
      </c>
      <c r="Y135" s="5">
        <f t="shared" ref="Y135" si="69">SQRT(X135)</f>
        <v>0.87094536855255222</v>
      </c>
      <c r="Z135" s="5">
        <f t="shared" ref="Z135" si="70">R135/O135*100</f>
        <v>4.2988164421865589</v>
      </c>
      <c r="AA135" s="5">
        <f t="shared" ref="AA135" si="71">W135/O135*100</f>
        <v>100</v>
      </c>
      <c r="AB135" s="5">
        <f t="shared" ref="AB135" si="72">Y135/O135*100</f>
        <v>1.5074041819416204</v>
      </c>
    </row>
    <row r="136" spans="1:28" ht="35.25" x14ac:dyDescent="0.25">
      <c r="A136" s="13" t="s">
        <v>19</v>
      </c>
      <c r="B136" s="16">
        <v>3</v>
      </c>
      <c r="C136" s="85"/>
      <c r="D136" s="85"/>
      <c r="E136" s="85"/>
      <c r="F136" s="85"/>
      <c r="G136" s="85"/>
      <c r="H136" s="85"/>
      <c r="I136" s="5">
        <f>(I8/I$5)*100</f>
        <v>11.161731207289293</v>
      </c>
      <c r="J136" s="5">
        <f t="shared" si="63"/>
        <v>11.903425042111175</v>
      </c>
      <c r="K136" s="5">
        <f t="shared" si="63"/>
        <v>12.545653761869978</v>
      </c>
      <c r="L136" s="5">
        <f t="shared" si="63"/>
        <v>12.783467446964158</v>
      </c>
      <c r="M136" s="5">
        <f t="shared" si="63"/>
        <v>13.417266187050359</v>
      </c>
      <c r="N136" s="5">
        <f t="shared" si="63"/>
        <v>13.542409123307198</v>
      </c>
      <c r="O136" s="5">
        <f t="shared" si="64"/>
        <v>12.558992128098694</v>
      </c>
      <c r="P136" s="5">
        <f t="shared" si="65"/>
        <v>13.542409123307198</v>
      </c>
      <c r="Q136" s="5">
        <f t="shared" si="66"/>
        <v>11.161731207289293</v>
      </c>
      <c r="R136" s="5">
        <f>P136-Q136</f>
        <v>2.3806779160179055</v>
      </c>
      <c r="S136" s="5">
        <f t="shared" si="67"/>
        <v>12.063982222050877</v>
      </c>
      <c r="T136" s="5">
        <f t="shared" si="68"/>
        <v>13.258816502028809</v>
      </c>
      <c r="U136" s="5">
        <f>QUARTILE(I136:N136, 2)</f>
        <v>12.664560604417069</v>
      </c>
      <c r="V136" s="5" t="s">
        <v>220</v>
      </c>
      <c r="W136" s="5">
        <f>SUM(K85:K90)/COUNTA(K85:K90)</f>
        <v>12.558992128098694</v>
      </c>
      <c r="X136" s="5">
        <f>SUM(N85:N90)/COUNTA(N85:N90)</f>
        <v>0.68940278542983247</v>
      </c>
      <c r="Y136" s="5">
        <f>SQRT(X136)</f>
        <v>0.83030282754536766</v>
      </c>
      <c r="Z136" s="5">
        <f>R136/O136*100</f>
        <v>18.955963119775571</v>
      </c>
      <c r="AA136" s="5">
        <f>W136/O136*100</f>
        <v>100</v>
      </c>
      <c r="AB136" s="5">
        <f>Y136/O136*100</f>
        <v>6.6112218168184107</v>
      </c>
    </row>
    <row r="137" spans="1:28" x14ac:dyDescent="0.25">
      <c r="A137" s="40"/>
      <c r="B137" s="40"/>
      <c r="C137" s="40"/>
      <c r="D137" s="40"/>
      <c r="E137" s="40"/>
      <c r="F137" s="40"/>
      <c r="G137" s="40"/>
      <c r="H137" s="40"/>
      <c r="I137" s="41"/>
      <c r="J137" s="41"/>
      <c r="K137" s="41"/>
      <c r="L137" s="41"/>
      <c r="M137" s="41"/>
      <c r="N137" s="41"/>
    </row>
    <row r="138" spans="1:28" x14ac:dyDescent="0.25">
      <c r="A138" s="6" t="s">
        <v>26</v>
      </c>
      <c r="B138" s="40"/>
      <c r="C138" s="40"/>
      <c r="D138" s="40"/>
      <c r="E138" s="40"/>
      <c r="F138" s="40"/>
      <c r="G138" s="40"/>
      <c r="H138" s="40"/>
      <c r="I138" s="41"/>
      <c r="J138" s="41"/>
      <c r="K138" s="41"/>
      <c r="L138" s="41"/>
      <c r="M138" s="41"/>
      <c r="N138" s="41"/>
    </row>
    <row r="140" spans="1:28" x14ac:dyDescent="0.25">
      <c r="A140" s="9" t="s">
        <v>85</v>
      </c>
    </row>
    <row r="141" spans="1:28" x14ac:dyDescent="0.25">
      <c r="A141" s="82" t="s">
        <v>12</v>
      </c>
      <c r="B141" s="82"/>
      <c r="C141" s="2">
        <v>2008</v>
      </c>
      <c r="D141" s="2">
        <v>2009</v>
      </c>
      <c r="E141" s="2">
        <v>2010</v>
      </c>
      <c r="F141" s="2">
        <v>2011</v>
      </c>
      <c r="G141" s="2">
        <v>2012</v>
      </c>
      <c r="H141" s="2">
        <v>2013</v>
      </c>
      <c r="I141" s="2">
        <v>2014</v>
      </c>
      <c r="J141" s="2">
        <v>2015</v>
      </c>
      <c r="K141" s="2">
        <v>2016</v>
      </c>
      <c r="L141" s="2">
        <v>2017</v>
      </c>
      <c r="M141" s="2">
        <v>2018</v>
      </c>
      <c r="N141" s="2">
        <v>2019</v>
      </c>
    </row>
    <row r="142" spans="1:28" x14ac:dyDescent="0.25">
      <c r="A142" s="17" t="s">
        <v>13</v>
      </c>
      <c r="B142" s="15" t="s">
        <v>14</v>
      </c>
      <c r="C142" s="15">
        <v>1</v>
      </c>
      <c r="D142" s="15">
        <v>2</v>
      </c>
      <c r="E142" s="15">
        <v>3</v>
      </c>
      <c r="F142" s="15">
        <v>4</v>
      </c>
      <c r="G142" s="15">
        <v>5</v>
      </c>
      <c r="H142" s="15">
        <v>6</v>
      </c>
      <c r="I142" s="15">
        <v>7</v>
      </c>
      <c r="J142" s="15">
        <v>8</v>
      </c>
      <c r="K142" s="15">
        <v>9</v>
      </c>
      <c r="L142" s="15">
        <v>10</v>
      </c>
      <c r="M142" s="15">
        <v>11</v>
      </c>
      <c r="N142" s="15">
        <v>12</v>
      </c>
    </row>
    <row r="143" spans="1:28" x14ac:dyDescent="0.25">
      <c r="A143" s="13" t="s">
        <v>17</v>
      </c>
      <c r="B143" s="38">
        <v>1</v>
      </c>
      <c r="C143" s="85" t="s">
        <v>20</v>
      </c>
      <c r="D143" s="85"/>
      <c r="E143" s="85"/>
      <c r="F143" s="85"/>
      <c r="G143" s="85"/>
      <c r="H143" s="85"/>
      <c r="I143" s="5">
        <f>(I6/I$7)*100</f>
        <v>49.52076677316294</v>
      </c>
      <c r="J143" s="5">
        <f t="shared" ref="J143:N143" si="73">(J6/J$7)*100</f>
        <v>50.994227068633734</v>
      </c>
      <c r="K143" s="5">
        <f t="shared" si="73"/>
        <v>51.759112519809825</v>
      </c>
      <c r="L143" s="5">
        <f t="shared" si="73"/>
        <v>52.072704081632651</v>
      </c>
      <c r="M143" s="5">
        <f t="shared" si="73"/>
        <v>51.877563900284009</v>
      </c>
      <c r="N143" s="5">
        <f t="shared" si="73"/>
        <v>51.862284820031292</v>
      </c>
    </row>
    <row r="144" spans="1:28" x14ac:dyDescent="0.25">
      <c r="A144" s="13" t="s">
        <v>19</v>
      </c>
      <c r="B144" s="16">
        <v>2</v>
      </c>
      <c r="C144" s="85"/>
      <c r="D144" s="85"/>
      <c r="E144" s="85"/>
      <c r="F144" s="85"/>
      <c r="G144" s="85"/>
      <c r="H144" s="85"/>
      <c r="I144" s="5">
        <f t="shared" ref="I144:N144" si="74">(I8/I$7)*100</f>
        <v>18.785942492012779</v>
      </c>
      <c r="J144" s="5">
        <f t="shared" si="74"/>
        <v>20.397690827453495</v>
      </c>
      <c r="K144" s="5">
        <f t="shared" si="74"/>
        <v>21.774960380348656</v>
      </c>
      <c r="L144" s="5">
        <f t="shared" si="74"/>
        <v>22.289540816326532</v>
      </c>
      <c r="M144" s="5">
        <f t="shared" si="74"/>
        <v>23.540549069106973</v>
      </c>
      <c r="N144" s="5">
        <f t="shared" si="74"/>
        <v>23.787167449139279</v>
      </c>
    </row>
    <row r="146" spans="1:1" ht="18.75" customHeight="1" x14ac:dyDescent="0.25">
      <c r="A146" s="68" t="s">
        <v>26</v>
      </c>
    </row>
  </sheetData>
  <mergeCells count="18">
    <mergeCell ref="C143:H144"/>
    <mergeCell ref="C134:H136"/>
    <mergeCell ref="A141:B141"/>
    <mergeCell ref="C117:H118"/>
    <mergeCell ref="A123:B123"/>
    <mergeCell ref="C125:H127"/>
    <mergeCell ref="A132:B132"/>
    <mergeCell ref="A3:B3"/>
    <mergeCell ref="A95:B95"/>
    <mergeCell ref="C97:H99"/>
    <mergeCell ref="A115:B115"/>
    <mergeCell ref="C6:H8"/>
    <mergeCell ref="A14:B14"/>
    <mergeCell ref="A35:B35"/>
    <mergeCell ref="A56:B56"/>
    <mergeCell ref="A77:B77"/>
    <mergeCell ref="A106:B106"/>
    <mergeCell ref="C109:H111"/>
  </mergeCells>
  <conditionalFormatting sqref="C5:N5 I6:N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8:N108 J109:N1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5:N1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6:N1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7:N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4:N1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5:N1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6:N1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7:N9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26"/>
  <sheetViews>
    <sheetView topLeftCell="K99" zoomScaleNormal="100" workbookViewId="0">
      <selection activeCell="Q126" sqref="Q126"/>
    </sheetView>
  </sheetViews>
  <sheetFormatPr defaultColWidth="11" defaultRowHeight="15.75" x14ac:dyDescent="0.25"/>
  <cols>
    <col min="1" max="1" width="65.75" bestFit="1" customWidth="1"/>
    <col min="2" max="14" width="13.5" customWidth="1"/>
    <col min="21" max="21" width="13.375" customWidth="1"/>
    <col min="22" max="22" width="19.25" customWidth="1"/>
    <col min="23" max="23" width="14.5" customWidth="1"/>
    <col min="25" max="25" width="25.75" customWidth="1"/>
    <col min="26" max="26" width="17.25" customWidth="1"/>
    <col min="27" max="27" width="16.75" customWidth="1"/>
    <col min="28" max="28" width="15.25" customWidth="1"/>
  </cols>
  <sheetData>
    <row r="1" spans="1:28" x14ac:dyDescent="0.25">
      <c r="A1" s="8" t="s">
        <v>9</v>
      </c>
    </row>
    <row r="3" spans="1:28" ht="75" x14ac:dyDescent="0.25">
      <c r="A3" s="95" t="s">
        <v>12</v>
      </c>
      <c r="B3" s="96"/>
      <c r="C3" s="1">
        <v>2008</v>
      </c>
      <c r="D3" s="2">
        <v>2009</v>
      </c>
      <c r="E3" s="1">
        <v>2010</v>
      </c>
      <c r="F3" s="2">
        <v>2011</v>
      </c>
      <c r="G3" s="1">
        <v>2012</v>
      </c>
      <c r="H3" s="2">
        <v>2013</v>
      </c>
      <c r="I3" s="1">
        <v>2014</v>
      </c>
      <c r="J3" s="2">
        <v>2015</v>
      </c>
      <c r="K3" s="1">
        <v>2016</v>
      </c>
      <c r="L3" s="2">
        <v>2017</v>
      </c>
      <c r="M3" s="1">
        <v>2018</v>
      </c>
      <c r="N3" s="1">
        <v>2019</v>
      </c>
      <c r="O3" s="1" t="s">
        <v>91</v>
      </c>
      <c r="P3" s="2" t="s">
        <v>164</v>
      </c>
      <c r="Q3" s="2" t="s">
        <v>165</v>
      </c>
      <c r="R3" s="2" t="s">
        <v>166</v>
      </c>
      <c r="S3" s="2" t="s">
        <v>116</v>
      </c>
      <c r="T3" s="2" t="s">
        <v>117</v>
      </c>
      <c r="U3" s="2" t="s">
        <v>113</v>
      </c>
      <c r="V3" s="2" t="s">
        <v>118</v>
      </c>
      <c r="W3" s="2" t="s">
        <v>167</v>
      </c>
      <c r="X3" s="2" t="s">
        <v>125</v>
      </c>
      <c r="Y3" s="2" t="s">
        <v>172</v>
      </c>
      <c r="Z3" s="2" t="s">
        <v>128</v>
      </c>
      <c r="AA3" s="2" t="s">
        <v>130</v>
      </c>
      <c r="AB3" s="2" t="s">
        <v>131</v>
      </c>
    </row>
    <row r="4" spans="1:28" x14ac:dyDescent="0.25">
      <c r="A4" s="17" t="s">
        <v>13</v>
      </c>
      <c r="B4" s="18" t="s">
        <v>14</v>
      </c>
      <c r="C4" s="18">
        <v>1</v>
      </c>
      <c r="D4" s="15">
        <v>2</v>
      </c>
      <c r="E4" s="18">
        <v>3</v>
      </c>
      <c r="F4" s="15">
        <v>4</v>
      </c>
      <c r="G4" s="18">
        <v>5</v>
      </c>
      <c r="H4" s="15">
        <v>6</v>
      </c>
      <c r="I4" s="18">
        <v>7</v>
      </c>
      <c r="J4" s="15">
        <v>8</v>
      </c>
      <c r="K4" s="18">
        <v>9</v>
      </c>
      <c r="L4" s="15">
        <v>10</v>
      </c>
      <c r="M4" s="18">
        <v>11</v>
      </c>
      <c r="N4" s="18">
        <v>12</v>
      </c>
      <c r="O4" s="18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23</v>
      </c>
      <c r="Y4" s="15">
        <v>24</v>
      </c>
      <c r="Z4" s="15">
        <v>25</v>
      </c>
      <c r="AA4" s="15">
        <v>26</v>
      </c>
      <c r="AB4" s="15">
        <v>27</v>
      </c>
    </row>
    <row r="5" spans="1:28" ht="34.5" x14ac:dyDescent="0.25">
      <c r="A5" s="4" t="s">
        <v>82</v>
      </c>
      <c r="B5" s="18">
        <v>1</v>
      </c>
      <c r="C5" s="5">
        <f>'1.1'!C5</f>
        <v>488.6</v>
      </c>
      <c r="D5" s="5">
        <f>'1.1'!D5</f>
        <v>494.3</v>
      </c>
      <c r="E5" s="5">
        <f>'1.1'!E5</f>
        <v>505.2</v>
      </c>
      <c r="F5" s="5">
        <f>'1.1'!F5</f>
        <v>511.4</v>
      </c>
      <c r="G5" s="5">
        <f>'1.1'!G5</f>
        <v>518.1</v>
      </c>
      <c r="H5" s="5">
        <f>'1.1'!H5</f>
        <v>523.4</v>
      </c>
      <c r="I5" s="5">
        <f>'1.1'!I5</f>
        <v>526.79999999999995</v>
      </c>
      <c r="J5" s="5">
        <f>'1.1'!J5</f>
        <v>534.29999999999995</v>
      </c>
      <c r="K5" s="5">
        <f>'1.1'!K5</f>
        <v>547.6</v>
      </c>
      <c r="L5" s="5">
        <f>'1.1'!L5</f>
        <v>546.79999999999995</v>
      </c>
      <c r="M5" s="5">
        <f>'1.1'!M5</f>
        <v>556</v>
      </c>
      <c r="N5" s="5">
        <f>'1.1'!N5</f>
        <v>561.20000000000005</v>
      </c>
      <c r="O5" s="5">
        <f>AVERAGE(C5:N5)</f>
        <v>526.14166666666677</v>
      </c>
      <c r="P5" s="42">
        <f>QUARTILE(C5:N5,4)</f>
        <v>561.20000000000005</v>
      </c>
      <c r="Q5" s="42">
        <f>QUARTILE(C5:N5, 0)</f>
        <v>488.6</v>
      </c>
      <c r="R5" s="42">
        <f>P5-Q5</f>
        <v>72.600000000000023</v>
      </c>
      <c r="S5" s="42">
        <f>QUARTILE(C5:N5,1)</f>
        <v>509.84999999999997</v>
      </c>
      <c r="T5" s="42">
        <f>QUARTILE(C5:N5, 3)</f>
        <v>547</v>
      </c>
      <c r="U5" s="42">
        <f>QUARTILE(C5:N5, 2)</f>
        <v>525.09999999999991</v>
      </c>
      <c r="V5" s="42" t="s">
        <v>210</v>
      </c>
      <c r="W5" s="42">
        <f>SUM(E16:E27)/COUNTA(E16:E27)</f>
        <v>19.308333333333326</v>
      </c>
      <c r="X5" s="42">
        <f>SUM(F16:F27)/COUNTA(F16:F27)</f>
        <v>518.84576388888888</v>
      </c>
      <c r="Y5" s="42">
        <f>SQRT(X5)</f>
        <v>22.778186141325847</v>
      </c>
      <c r="Z5" s="42">
        <f>R5/O5*100</f>
        <v>13.798565025262526</v>
      </c>
      <c r="AA5" s="42">
        <f>W5/O5*100</f>
        <v>3.6697974246479861</v>
      </c>
      <c r="AB5" s="42">
        <f>Y5/O5*100</f>
        <v>4.3292876395126489</v>
      </c>
    </row>
    <row r="6" spans="1:28" ht="34.5" x14ac:dyDescent="0.25">
      <c r="A6" s="4" t="s">
        <v>5</v>
      </c>
      <c r="B6" s="19">
        <v>2</v>
      </c>
      <c r="C6" s="7" t="s">
        <v>6</v>
      </c>
      <c r="D6" s="5">
        <v>31.4</v>
      </c>
      <c r="E6" s="5">
        <v>38</v>
      </c>
      <c r="F6" s="5">
        <v>37.4</v>
      </c>
      <c r="G6" s="5">
        <v>37.6</v>
      </c>
      <c r="H6" s="5">
        <v>37.299999999999997</v>
      </c>
      <c r="I6" s="5">
        <v>40.799999999999997</v>
      </c>
      <c r="J6" s="5">
        <v>20.2</v>
      </c>
      <c r="K6" s="5">
        <v>31</v>
      </c>
      <c r="L6" s="5">
        <v>37</v>
      </c>
      <c r="M6" s="5">
        <v>42</v>
      </c>
      <c r="N6" s="5">
        <v>41.3</v>
      </c>
      <c r="O6" s="5">
        <f t="shared" ref="O6:O7" si="0">AVERAGE(C6:N6)</f>
        <v>35.81818181818182</v>
      </c>
      <c r="P6" s="42">
        <f>QUARTILE(D6:N6,4)</f>
        <v>42</v>
      </c>
      <c r="Q6" s="42">
        <f>QUARTILE(D6:N6, 0)</f>
        <v>20.2</v>
      </c>
      <c r="R6" s="42">
        <f>P6-Q6</f>
        <v>21.8</v>
      </c>
      <c r="S6" s="42">
        <f>QUARTILE(D6:N6,1)</f>
        <v>34.200000000000003</v>
      </c>
      <c r="T6" s="42">
        <f>QUARTILE(D6:N6, 3)</f>
        <v>39.4</v>
      </c>
      <c r="U6" s="42">
        <f>QUARTILE(D6:N6, 2)</f>
        <v>37.4</v>
      </c>
      <c r="V6" s="42" t="s">
        <v>221</v>
      </c>
      <c r="W6" s="42">
        <f>SUM(E39:E49)/COUNTA(E39:E49)</f>
        <v>4.5190082644628085</v>
      </c>
      <c r="X6" s="42">
        <f>SUM(F39:F49)/COUNTA(F39:F49)</f>
        <v>35.797851239669413</v>
      </c>
      <c r="Y6" s="42">
        <f>SQRT(X6)</f>
        <v>5.9831305551249185</v>
      </c>
      <c r="Z6" s="42">
        <f>R6/O6*100</f>
        <v>60.862944162436548</v>
      </c>
      <c r="AA6" s="42">
        <f t="shared" ref="AA6" si="1">W6/O6*100</f>
        <v>12.616520535302255</v>
      </c>
      <c r="AB6" s="42">
        <f t="shared" ref="AB6" si="2">Y6/O6*100</f>
        <v>16.704171600602564</v>
      </c>
    </row>
    <row r="7" spans="1:28" ht="34.5" x14ac:dyDescent="0.25">
      <c r="A7" s="3" t="s">
        <v>7</v>
      </c>
      <c r="B7" s="19">
        <v>3</v>
      </c>
      <c r="C7" s="7" t="s">
        <v>6</v>
      </c>
      <c r="D7" s="5">
        <v>15.3</v>
      </c>
      <c r="E7" s="5">
        <v>14.7</v>
      </c>
      <c r="F7" s="5">
        <v>15.4</v>
      </c>
      <c r="G7" s="5">
        <v>14.6</v>
      </c>
      <c r="H7" s="5">
        <v>15</v>
      </c>
      <c r="I7" s="5">
        <v>16.2</v>
      </c>
      <c r="J7" s="5">
        <v>19.100000000000001</v>
      </c>
      <c r="K7" s="5">
        <v>22.3</v>
      </c>
      <c r="L7" s="5">
        <v>25.7</v>
      </c>
      <c r="M7" s="5">
        <v>29.1</v>
      </c>
      <c r="N7" s="5">
        <v>30</v>
      </c>
      <c r="O7" s="5">
        <f t="shared" si="0"/>
        <v>19.763636363636365</v>
      </c>
      <c r="P7" s="42">
        <f>QUARTILE(D7:N7,4)</f>
        <v>30</v>
      </c>
      <c r="Q7" s="42">
        <f>QUARTILE(D7:N7, 0)</f>
        <v>14.6</v>
      </c>
      <c r="R7" s="42">
        <f>P7-Q7</f>
        <v>15.4</v>
      </c>
      <c r="S7" s="42">
        <f>QUARTILE(D7:N7,1)</f>
        <v>15.15</v>
      </c>
      <c r="T7" s="42">
        <f>QUARTILE(D7:N7, 3)</f>
        <v>24</v>
      </c>
      <c r="U7" s="42">
        <f>QUARTILE(D7:N7, 2)</f>
        <v>16.2</v>
      </c>
      <c r="V7" s="42" t="s">
        <v>222</v>
      </c>
      <c r="W7" s="42">
        <f>SUM(E60:E70)/COUNTA(E60:E70)</f>
        <v>16.054545454545458</v>
      </c>
      <c r="X7" s="42">
        <f>SUM(F60:F70)/COUNTA(F60:F70)</f>
        <v>290.54165289256201</v>
      </c>
      <c r="Y7" s="42">
        <f>SQRT(X7)</f>
        <v>17.045282423373397</v>
      </c>
      <c r="Z7" s="42">
        <f>R7/O7*100</f>
        <v>77.920883164673398</v>
      </c>
      <c r="AA7" s="42">
        <f>W7/O7*100</f>
        <v>81.232750689972406</v>
      </c>
      <c r="AB7" s="42">
        <f>Y7/O7*100</f>
        <v>86.245679235099985</v>
      </c>
    </row>
    <row r="8" spans="1:28" x14ac:dyDescent="0.25">
      <c r="A8" s="49"/>
      <c r="B8" s="52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x14ac:dyDescent="0.25">
      <c r="A9" s="6" t="s">
        <v>8</v>
      </c>
      <c r="B9" s="52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x14ac:dyDescent="0.25">
      <c r="A10" s="49"/>
      <c r="B10" s="5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spans="1:28" x14ac:dyDescent="0.25">
      <c r="A11" s="49"/>
      <c r="B11" s="5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spans="1:28" x14ac:dyDescent="0.25">
      <c r="A12" s="62" t="s">
        <v>190</v>
      </c>
      <c r="B12" s="52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x14ac:dyDescent="0.25">
      <c r="A13" s="49"/>
      <c r="B13" s="5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spans="1:28" ht="30" x14ac:dyDescent="0.25">
      <c r="A14" s="83" t="s">
        <v>191</v>
      </c>
      <c r="B14" s="84"/>
      <c r="C14" s="2" t="s">
        <v>121</v>
      </c>
      <c r="D14" s="2" t="s">
        <v>119</v>
      </c>
      <c r="E14" s="2" t="s">
        <v>120</v>
      </c>
      <c r="F14" s="2" t="s">
        <v>124</v>
      </c>
      <c r="G14" s="41"/>
      <c r="H14" s="41"/>
      <c r="I14" s="41"/>
      <c r="J14" s="41"/>
      <c r="K14" s="41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8" x14ac:dyDescent="0.25">
      <c r="A15" s="16" t="s">
        <v>13</v>
      </c>
      <c r="B15" s="15" t="s">
        <v>14</v>
      </c>
      <c r="C15" s="16" t="s">
        <v>143</v>
      </c>
      <c r="D15" s="16">
        <v>1</v>
      </c>
      <c r="E15" s="16">
        <v>2</v>
      </c>
      <c r="F15" s="16">
        <v>3</v>
      </c>
      <c r="G15" s="41"/>
      <c r="H15" s="41"/>
      <c r="I15" s="41"/>
      <c r="J15" s="41"/>
      <c r="K15" s="41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spans="1:28" x14ac:dyDescent="0.25">
      <c r="A16" s="54">
        <v>2008</v>
      </c>
      <c r="B16" s="16">
        <v>1</v>
      </c>
      <c r="C16" s="5">
        <f t="array" ref="C16:C27">TRANSPOSE(C5:N5)</f>
        <v>488.6</v>
      </c>
      <c r="D16" s="5">
        <f t="shared" ref="D16:D27" si="3">C16-$C$28</f>
        <v>-37.541666666666742</v>
      </c>
      <c r="E16" s="5">
        <f>ABS(D16)</f>
        <v>37.541666666666742</v>
      </c>
      <c r="F16" s="5">
        <f>POWER(E16,2)</f>
        <v>1409.3767361111168</v>
      </c>
      <c r="G16" s="41"/>
      <c r="H16" s="41"/>
      <c r="I16" s="41"/>
      <c r="J16" s="41"/>
      <c r="K16" s="41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8" x14ac:dyDescent="0.25">
      <c r="A17" s="54">
        <v>2009</v>
      </c>
      <c r="B17" s="16">
        <v>2</v>
      </c>
      <c r="C17" s="5">
        <v>494.3</v>
      </c>
      <c r="D17" s="5">
        <f t="shared" si="3"/>
        <v>-31.841666666666754</v>
      </c>
      <c r="E17" s="5">
        <f t="shared" ref="E17:E27" si="4">ABS(D17)</f>
        <v>31.841666666666754</v>
      </c>
      <c r="F17" s="5">
        <f t="shared" ref="F17:F27" si="5">POWER(E17,2)</f>
        <v>1013.8917361111166</v>
      </c>
      <c r="G17" s="41"/>
      <c r="H17" s="41"/>
      <c r="I17" s="41"/>
      <c r="J17" s="41"/>
      <c r="K17" s="41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28" x14ac:dyDescent="0.25">
      <c r="A18" s="54">
        <v>2010</v>
      </c>
      <c r="B18" s="16">
        <v>3</v>
      </c>
      <c r="C18" s="5">
        <v>505.2</v>
      </c>
      <c r="D18" s="5">
        <f t="shared" si="3"/>
        <v>-20.941666666666777</v>
      </c>
      <c r="E18" s="5">
        <f t="shared" si="4"/>
        <v>20.941666666666777</v>
      </c>
      <c r="F18" s="5">
        <f t="shared" si="5"/>
        <v>438.55340277778237</v>
      </c>
      <c r="G18" s="41"/>
      <c r="H18" s="41"/>
      <c r="I18" s="41"/>
      <c r="J18" s="41"/>
      <c r="K18" s="41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8" x14ac:dyDescent="0.25">
      <c r="A19" s="54">
        <v>2011</v>
      </c>
      <c r="B19" s="16">
        <v>4</v>
      </c>
      <c r="C19" s="5">
        <v>511.4</v>
      </c>
      <c r="D19" s="5">
        <f t="shared" si="3"/>
        <v>-14.741666666666788</v>
      </c>
      <c r="E19" s="5">
        <f t="shared" si="4"/>
        <v>14.741666666666788</v>
      </c>
      <c r="F19" s="5">
        <f t="shared" si="5"/>
        <v>217.31673611111469</v>
      </c>
      <c r="G19" s="41"/>
      <c r="H19" s="41"/>
      <c r="I19" s="41"/>
      <c r="J19" s="41"/>
      <c r="K19" s="41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28" x14ac:dyDescent="0.25">
      <c r="A20" s="54">
        <v>2012</v>
      </c>
      <c r="B20" s="16">
        <v>5</v>
      </c>
      <c r="C20" s="5">
        <v>518.1</v>
      </c>
      <c r="D20" s="5">
        <f t="shared" si="3"/>
        <v>-8.0416666666667425</v>
      </c>
      <c r="E20" s="5">
        <f t="shared" si="4"/>
        <v>8.0416666666667425</v>
      </c>
      <c r="F20" s="5">
        <f t="shared" si="5"/>
        <v>64.668402777778994</v>
      </c>
      <c r="G20" s="41"/>
      <c r="H20" s="41"/>
      <c r="I20" s="41"/>
      <c r="J20" s="41"/>
      <c r="K20" s="41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8" x14ac:dyDescent="0.25">
      <c r="A21" s="54">
        <v>2013</v>
      </c>
      <c r="B21" s="16">
        <v>6</v>
      </c>
      <c r="C21" s="5">
        <v>523.4</v>
      </c>
      <c r="D21" s="5">
        <f t="shared" si="3"/>
        <v>-2.7416666666667879</v>
      </c>
      <c r="E21" s="5">
        <f t="shared" si="4"/>
        <v>2.7416666666667879</v>
      </c>
      <c r="F21" s="5">
        <f t="shared" si="5"/>
        <v>7.5167361111117756</v>
      </c>
      <c r="G21" s="41"/>
      <c r="H21" s="41"/>
      <c r="I21" s="41"/>
      <c r="J21" s="41"/>
      <c r="K21" s="41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28" x14ac:dyDescent="0.25">
      <c r="A22" s="54">
        <v>2014</v>
      </c>
      <c r="B22" s="16">
        <v>7</v>
      </c>
      <c r="C22" s="5">
        <v>526.79999999999995</v>
      </c>
      <c r="D22" s="5">
        <f t="shared" si="3"/>
        <v>0.65833333333318933</v>
      </c>
      <c r="E22" s="5">
        <f t="shared" si="4"/>
        <v>0.65833333333318933</v>
      </c>
      <c r="F22" s="5">
        <f t="shared" si="5"/>
        <v>0.43340277777758818</v>
      </c>
      <c r="G22" s="41"/>
      <c r="H22" s="41"/>
      <c r="I22" s="41"/>
      <c r="J22" s="41"/>
      <c r="K22" s="41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8" x14ac:dyDescent="0.25">
      <c r="A23" s="54">
        <v>2015</v>
      </c>
      <c r="B23" s="16">
        <v>8</v>
      </c>
      <c r="C23" s="5">
        <v>534.29999999999995</v>
      </c>
      <c r="D23" s="5">
        <f t="shared" si="3"/>
        <v>8.1583333333331893</v>
      </c>
      <c r="E23" s="5">
        <f t="shared" si="4"/>
        <v>8.1583333333331893</v>
      </c>
      <c r="F23" s="5">
        <f t="shared" si="5"/>
        <v>66.558402777775427</v>
      </c>
      <c r="G23" s="41"/>
      <c r="H23" s="41"/>
      <c r="I23" s="41"/>
      <c r="J23" s="41"/>
      <c r="K23" s="41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28" x14ac:dyDescent="0.25">
      <c r="A24" s="54">
        <v>2016</v>
      </c>
      <c r="B24" s="16">
        <v>9</v>
      </c>
      <c r="C24" s="5">
        <v>547.6</v>
      </c>
      <c r="D24" s="5">
        <f t="shared" si="3"/>
        <v>21.458333333333258</v>
      </c>
      <c r="E24" s="5">
        <f t="shared" si="4"/>
        <v>21.458333333333258</v>
      </c>
      <c r="F24" s="5">
        <f t="shared" si="5"/>
        <v>460.46006944444122</v>
      </c>
      <c r="G24" s="41"/>
      <c r="H24" s="41"/>
      <c r="I24" s="41"/>
      <c r="J24" s="41"/>
      <c r="K24" s="41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8" x14ac:dyDescent="0.25">
      <c r="A25" s="54">
        <v>2017</v>
      </c>
      <c r="B25" s="16">
        <v>10</v>
      </c>
      <c r="C25" s="5">
        <v>546.79999999999995</v>
      </c>
      <c r="D25" s="5">
        <f t="shared" si="3"/>
        <v>20.658333333333189</v>
      </c>
      <c r="E25" s="5">
        <f t="shared" si="4"/>
        <v>20.658333333333189</v>
      </c>
      <c r="F25" s="5">
        <f t="shared" si="5"/>
        <v>426.76673611110516</v>
      </c>
      <c r="G25" s="41"/>
      <c r="H25" s="41"/>
      <c r="I25" s="41"/>
      <c r="J25" s="41"/>
      <c r="K25" s="41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spans="1:28" x14ac:dyDescent="0.25">
      <c r="A26" s="54">
        <v>2018</v>
      </c>
      <c r="B26" s="16">
        <v>11</v>
      </c>
      <c r="C26" s="5">
        <v>556</v>
      </c>
      <c r="D26" s="5">
        <f t="shared" si="3"/>
        <v>29.858333333333235</v>
      </c>
      <c r="E26" s="5">
        <f t="shared" si="4"/>
        <v>29.858333333333235</v>
      </c>
      <c r="F26" s="5">
        <f t="shared" si="5"/>
        <v>891.5200694444386</v>
      </c>
      <c r="G26" s="41"/>
      <c r="H26" s="41"/>
      <c r="I26" s="41"/>
      <c r="J26" s="41"/>
      <c r="K26" s="41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8" x14ac:dyDescent="0.25">
      <c r="A27" s="54">
        <v>2019</v>
      </c>
      <c r="B27" s="16">
        <v>12</v>
      </c>
      <c r="C27" s="5">
        <v>561.20000000000005</v>
      </c>
      <c r="D27" s="5">
        <f t="shared" si="3"/>
        <v>35.05833333333328</v>
      </c>
      <c r="E27" s="5">
        <f t="shared" si="4"/>
        <v>35.05833333333328</v>
      </c>
      <c r="F27" s="5">
        <f t="shared" si="5"/>
        <v>1229.0867361111075</v>
      </c>
      <c r="G27" s="41"/>
      <c r="H27" s="41"/>
      <c r="I27" s="41"/>
      <c r="J27" s="41"/>
      <c r="K27" s="41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8" x14ac:dyDescent="0.25">
      <c r="A28" s="54" t="s">
        <v>126</v>
      </c>
      <c r="B28" s="16">
        <v>13</v>
      </c>
      <c r="C28" s="5">
        <f>AVERAGE(C16:C27)</f>
        <v>526.14166666666677</v>
      </c>
      <c r="D28" s="5" t="s">
        <v>79</v>
      </c>
      <c r="E28" s="5" t="s">
        <v>79</v>
      </c>
      <c r="F28" s="5" t="s">
        <v>79</v>
      </c>
      <c r="G28" s="41"/>
      <c r="H28" s="41"/>
      <c r="I28" s="41"/>
      <c r="J28" s="41"/>
      <c r="K28" s="41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8" x14ac:dyDescent="0.25">
      <c r="A29" s="6"/>
      <c r="K29" s="41"/>
      <c r="L29" s="41"/>
      <c r="M29" s="41"/>
      <c r="N29" s="41"/>
      <c r="O29" s="41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spans="1:28" x14ac:dyDescent="0.25">
      <c r="A30" s="6" t="s">
        <v>183</v>
      </c>
      <c r="K30" s="41"/>
      <c r="L30" s="41"/>
      <c r="M30" s="41"/>
      <c r="N30" s="41"/>
      <c r="O30" s="41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spans="1:28" x14ac:dyDescent="0.25">
      <c r="A31" s="6"/>
      <c r="K31" s="41"/>
      <c r="L31" s="41"/>
      <c r="M31" s="41"/>
      <c r="N31" s="41"/>
      <c r="O31" s="41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spans="1:28" x14ac:dyDescent="0.25">
      <c r="A32" s="6"/>
      <c r="K32" s="41"/>
      <c r="L32" s="41"/>
      <c r="M32" s="41"/>
      <c r="N32" s="41"/>
      <c r="O32" s="41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spans="1:28" x14ac:dyDescent="0.25">
      <c r="A33" s="6"/>
      <c r="K33" s="41"/>
      <c r="L33" s="41"/>
      <c r="M33" s="41"/>
      <c r="N33" s="41"/>
      <c r="O33" s="41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spans="1:28" x14ac:dyDescent="0.25">
      <c r="A34" s="62" t="s">
        <v>192</v>
      </c>
      <c r="B34" s="52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spans="1:28" x14ac:dyDescent="0.25">
      <c r="A35" s="49"/>
      <c r="B35" s="52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spans="1:28" ht="75" x14ac:dyDescent="0.25">
      <c r="A36" s="83" t="s">
        <v>191</v>
      </c>
      <c r="B36" s="84"/>
      <c r="C36" s="2" t="s">
        <v>121</v>
      </c>
      <c r="D36" s="2" t="s">
        <v>119</v>
      </c>
      <c r="E36" s="2" t="s">
        <v>120</v>
      </c>
      <c r="F36" s="2" t="s">
        <v>124</v>
      </c>
      <c r="G36" s="2" t="s">
        <v>225</v>
      </c>
      <c r="H36" s="2" t="s">
        <v>169</v>
      </c>
      <c r="I36" s="2" t="s">
        <v>170</v>
      </c>
      <c r="J36" s="2" t="s">
        <v>171</v>
      </c>
      <c r="K36" s="41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spans="1:28" x14ac:dyDescent="0.25">
      <c r="A37" s="16" t="s">
        <v>13</v>
      </c>
      <c r="B37" s="15" t="s">
        <v>14</v>
      </c>
      <c r="C37" s="16" t="s">
        <v>143</v>
      </c>
      <c r="D37" s="16">
        <v>1</v>
      </c>
      <c r="E37" s="16">
        <v>2</v>
      </c>
      <c r="F37" s="16">
        <v>3</v>
      </c>
      <c r="G37" s="16">
        <v>4</v>
      </c>
      <c r="H37" s="16">
        <v>5</v>
      </c>
      <c r="I37" s="16">
        <v>6</v>
      </c>
      <c r="J37" s="16">
        <v>7</v>
      </c>
      <c r="K37" s="41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spans="1:28" x14ac:dyDescent="0.25">
      <c r="A38" s="54">
        <v>2008</v>
      </c>
      <c r="B38" s="16">
        <v>1</v>
      </c>
      <c r="C38" s="5" t="s">
        <v>79</v>
      </c>
      <c r="D38" s="5" t="s">
        <v>79</v>
      </c>
      <c r="E38" s="5" t="s">
        <v>79</v>
      </c>
      <c r="F38" s="5" t="s">
        <v>79</v>
      </c>
      <c r="G38" s="5" t="s">
        <v>79</v>
      </c>
      <c r="H38" s="5" t="s">
        <v>79</v>
      </c>
      <c r="I38" s="5" t="s">
        <v>79</v>
      </c>
      <c r="J38" s="5" t="s">
        <v>79</v>
      </c>
      <c r="K38" s="41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8" x14ac:dyDescent="0.25">
      <c r="A39" s="54">
        <v>2009</v>
      </c>
      <c r="B39" s="16">
        <v>2</v>
      </c>
      <c r="C39" s="5">
        <f t="array" ref="C39:C49">TRANSPOSE(D6:N6)</f>
        <v>31.4</v>
      </c>
      <c r="D39" s="5">
        <f>C39-$C$50</f>
        <v>-4.4181818181818215</v>
      </c>
      <c r="E39" s="5">
        <f>ABS(D39)</f>
        <v>4.4181818181818215</v>
      </c>
      <c r="F39" s="5">
        <f>POWER(E39,2)</f>
        <v>19.520330578512425</v>
      </c>
      <c r="G39" s="5">
        <f>C39/C17*100</f>
        <v>6.3524175601861215</v>
      </c>
      <c r="H39" s="5">
        <f>G39-$G$50</f>
        <v>-0.41464006541815301</v>
      </c>
      <c r="I39" s="5">
        <f>ABS(H39)</f>
        <v>0.41464006541815301</v>
      </c>
      <c r="J39" s="5">
        <f>POWER(I39,2)</f>
        <v>0.17192638384997022</v>
      </c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spans="1:28" x14ac:dyDescent="0.25">
      <c r="A40" s="54">
        <v>2010</v>
      </c>
      <c r="B40" s="16">
        <v>3</v>
      </c>
      <c r="C40" s="5">
        <v>38</v>
      </c>
      <c r="D40" s="5">
        <f t="shared" ref="D40:D48" si="6">C40-$C$50</f>
        <v>2.1818181818181799</v>
      </c>
      <c r="E40" s="5">
        <f t="shared" ref="E40:E49" si="7">ABS(D40)</f>
        <v>2.1818181818181799</v>
      </c>
      <c r="F40" s="5">
        <f t="shared" ref="F40:F49" si="8">POWER(E40,2)</f>
        <v>4.7603305785123879</v>
      </c>
      <c r="G40" s="5">
        <f t="shared" ref="G40:G49" si="9">C40/C18*100</f>
        <v>7.5217735550277123</v>
      </c>
      <c r="H40" s="5">
        <f t="shared" ref="H40:H49" si="10">G40-$G$50</f>
        <v>0.75471592942343779</v>
      </c>
      <c r="I40" s="5">
        <f t="shared" ref="I40:I49" si="11">ABS(H40)</f>
        <v>0.75471592942343779</v>
      </c>
      <c r="J40" s="5">
        <f t="shared" ref="J40:J49" si="12">POWER(I40,2)</f>
        <v>0.56959613412548349</v>
      </c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8" x14ac:dyDescent="0.25">
      <c r="A41" s="54">
        <v>2011</v>
      </c>
      <c r="B41" s="16">
        <v>4</v>
      </c>
      <c r="C41" s="5">
        <v>37.4</v>
      </c>
      <c r="D41" s="5">
        <f t="shared" si="6"/>
        <v>1.5818181818181785</v>
      </c>
      <c r="E41" s="5">
        <f t="shared" si="7"/>
        <v>1.5818181818181785</v>
      </c>
      <c r="F41" s="5">
        <f t="shared" si="8"/>
        <v>2.5021487603305679</v>
      </c>
      <c r="G41" s="5">
        <f t="shared" si="9"/>
        <v>7.3132577238951901</v>
      </c>
      <c r="H41" s="5">
        <f t="shared" si="10"/>
        <v>0.54620009829091565</v>
      </c>
      <c r="I41" s="5">
        <f t="shared" si="11"/>
        <v>0.54620009829091565</v>
      </c>
      <c r="J41" s="5">
        <f t="shared" si="12"/>
        <v>0.29833454737300591</v>
      </c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spans="1:28" x14ac:dyDescent="0.25">
      <c r="A42" s="54">
        <v>2012</v>
      </c>
      <c r="B42" s="16">
        <v>5</v>
      </c>
      <c r="C42" s="5">
        <v>37.6</v>
      </c>
      <c r="D42" s="5">
        <f t="shared" si="6"/>
        <v>1.7818181818181813</v>
      </c>
      <c r="E42" s="5">
        <f t="shared" si="7"/>
        <v>1.7818181818181813</v>
      </c>
      <c r="F42" s="5">
        <f t="shared" si="8"/>
        <v>3.1748760330578496</v>
      </c>
      <c r="G42" s="5">
        <f t="shared" si="9"/>
        <v>7.2572862381779579</v>
      </c>
      <c r="H42" s="5">
        <f t="shared" si="10"/>
        <v>0.49022861257368344</v>
      </c>
      <c r="I42" s="5">
        <f t="shared" si="11"/>
        <v>0.49022861257368344</v>
      </c>
      <c r="J42" s="5">
        <f t="shared" si="12"/>
        <v>0.24032409258591861</v>
      </c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spans="1:28" x14ac:dyDescent="0.25">
      <c r="A43" s="54">
        <v>2013</v>
      </c>
      <c r="B43" s="16">
        <v>6</v>
      </c>
      <c r="C43" s="5">
        <v>37.299999999999997</v>
      </c>
      <c r="D43" s="5">
        <f t="shared" si="6"/>
        <v>1.481818181818177</v>
      </c>
      <c r="E43" s="5">
        <f t="shared" si="7"/>
        <v>1.481818181818177</v>
      </c>
      <c r="F43" s="5">
        <f t="shared" si="8"/>
        <v>2.1957851239669282</v>
      </c>
      <c r="G43" s="5">
        <f t="shared" si="9"/>
        <v>7.1264807030951465</v>
      </c>
      <c r="H43" s="5">
        <f t="shared" si="10"/>
        <v>0.35942307749087199</v>
      </c>
      <c r="I43" s="5">
        <f t="shared" si="11"/>
        <v>0.35942307749087199</v>
      </c>
      <c r="J43" s="5">
        <f t="shared" si="12"/>
        <v>0.12918494863300936</v>
      </c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spans="1:28" x14ac:dyDescent="0.25">
      <c r="A44" s="54">
        <v>2014</v>
      </c>
      <c r="B44" s="16">
        <v>7</v>
      </c>
      <c r="C44" s="5">
        <v>40.799999999999997</v>
      </c>
      <c r="D44" s="5">
        <f t="shared" si="6"/>
        <v>4.981818181818177</v>
      </c>
      <c r="E44" s="5">
        <f t="shared" si="7"/>
        <v>4.981818181818177</v>
      </c>
      <c r="F44" s="5">
        <f t="shared" si="8"/>
        <v>24.818512396694167</v>
      </c>
      <c r="G44" s="5">
        <f t="shared" si="9"/>
        <v>7.7448747152619593</v>
      </c>
      <c r="H44" s="5">
        <f t="shared" si="10"/>
        <v>0.97781708965768477</v>
      </c>
      <c r="I44" s="5">
        <f t="shared" si="11"/>
        <v>0.97781708965768477</v>
      </c>
      <c r="J44" s="5">
        <f t="shared" si="12"/>
        <v>0.95612626082662477</v>
      </c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8" x14ac:dyDescent="0.25">
      <c r="A45" s="54">
        <v>2015</v>
      </c>
      <c r="B45" s="16">
        <v>8</v>
      </c>
      <c r="C45" s="5">
        <v>20.2</v>
      </c>
      <c r="D45" s="5">
        <f t="shared" si="6"/>
        <v>-15.618181818181821</v>
      </c>
      <c r="E45" s="5">
        <f t="shared" si="7"/>
        <v>15.618181818181821</v>
      </c>
      <c r="F45" s="5">
        <f>POWER(E45,2)</f>
        <v>243.9276033057852</v>
      </c>
      <c r="G45" s="5">
        <f t="shared" si="9"/>
        <v>3.7806475762680147</v>
      </c>
      <c r="H45" s="5">
        <f t="shared" si="10"/>
        <v>-2.9864100493362598</v>
      </c>
      <c r="I45" s="5">
        <f t="shared" si="11"/>
        <v>2.9864100493362598</v>
      </c>
      <c r="J45" s="5">
        <f>POWER(I45,2)</f>
        <v>8.9186449827766019</v>
      </c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spans="1:28" x14ac:dyDescent="0.25">
      <c r="A46" s="54">
        <v>2016</v>
      </c>
      <c r="B46" s="16">
        <v>9</v>
      </c>
      <c r="C46" s="5">
        <v>31</v>
      </c>
      <c r="D46" s="5">
        <f t="shared" si="6"/>
        <v>-4.8181818181818201</v>
      </c>
      <c r="E46" s="5">
        <f t="shared" si="7"/>
        <v>4.8181818181818201</v>
      </c>
      <c r="F46" s="5">
        <f t="shared" si="8"/>
        <v>23.21487603305787</v>
      </c>
      <c r="G46" s="5">
        <f t="shared" si="9"/>
        <v>5.6610664718772821</v>
      </c>
      <c r="H46" s="5">
        <f t="shared" si="10"/>
        <v>-1.1059911537269924</v>
      </c>
      <c r="I46" s="5">
        <f t="shared" si="11"/>
        <v>1.1059911537269924</v>
      </c>
      <c r="J46" s="5">
        <f t="shared" si="12"/>
        <v>1.2232164321223638</v>
      </c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spans="1:28" x14ac:dyDescent="0.25">
      <c r="A47" s="54">
        <v>2017</v>
      </c>
      <c r="B47" s="16">
        <v>10</v>
      </c>
      <c r="C47" s="5">
        <v>37</v>
      </c>
      <c r="D47" s="5">
        <f t="shared" si="6"/>
        <v>1.1818181818181799</v>
      </c>
      <c r="E47" s="5">
        <f t="shared" si="7"/>
        <v>1.1818181818181799</v>
      </c>
      <c r="F47" s="5">
        <f t="shared" si="8"/>
        <v>1.3966942148760284</v>
      </c>
      <c r="G47" s="5">
        <f t="shared" si="9"/>
        <v>6.766642282370154</v>
      </c>
      <c r="H47" s="5">
        <f t="shared" si="10"/>
        <v>-4.1534323412051322E-4</v>
      </c>
      <c r="I47" s="5">
        <f t="shared" si="11"/>
        <v>4.1534323412051322E-4</v>
      </c>
      <c r="J47" s="5">
        <f t="shared" si="12"/>
        <v>1.7251000212968745E-7</v>
      </c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spans="1:28" x14ac:dyDescent="0.25">
      <c r="A48" s="54">
        <v>2018</v>
      </c>
      <c r="B48" s="16">
        <v>11</v>
      </c>
      <c r="C48" s="5">
        <v>42</v>
      </c>
      <c r="D48" s="5">
        <f t="shared" si="6"/>
        <v>6.1818181818181799</v>
      </c>
      <c r="E48" s="5">
        <f t="shared" si="7"/>
        <v>6.1818181818181799</v>
      </c>
      <c r="F48" s="5">
        <f t="shared" si="8"/>
        <v>38.214876033057827</v>
      </c>
      <c r="G48" s="5">
        <f t="shared" si="9"/>
        <v>7.5539568345323742</v>
      </c>
      <c r="H48" s="5">
        <f t="shared" si="10"/>
        <v>0.78689920892809972</v>
      </c>
      <c r="I48" s="5">
        <f t="shared" si="11"/>
        <v>0.78689920892809972</v>
      </c>
      <c r="J48" s="5">
        <f t="shared" si="12"/>
        <v>0.61921036501166915</v>
      </c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8" x14ac:dyDescent="0.25">
      <c r="A49" s="54">
        <v>2019</v>
      </c>
      <c r="B49" s="16">
        <v>12</v>
      </c>
      <c r="C49" s="5">
        <v>41.3</v>
      </c>
      <c r="D49" s="5">
        <f>C49-$C$50</f>
        <v>5.481818181818177</v>
      </c>
      <c r="E49" s="5">
        <f t="shared" si="7"/>
        <v>5.481818181818177</v>
      </c>
      <c r="F49" s="5">
        <f t="shared" si="8"/>
        <v>30.050330578512344</v>
      </c>
      <c r="G49" s="5">
        <f t="shared" si="9"/>
        <v>7.3592302209550944</v>
      </c>
      <c r="H49" s="5">
        <f t="shared" si="10"/>
        <v>0.5921725953508199</v>
      </c>
      <c r="I49" s="5">
        <f t="shared" si="11"/>
        <v>0.5921725953508199</v>
      </c>
      <c r="J49" s="5">
        <f t="shared" si="12"/>
        <v>0.35066838268452588</v>
      </c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spans="1:28" x14ac:dyDescent="0.25">
      <c r="A50" s="54" t="s">
        <v>126</v>
      </c>
      <c r="B50" s="16">
        <v>13</v>
      </c>
      <c r="C50" s="5">
        <f>AVERAGE(C39:C49)</f>
        <v>35.81818181818182</v>
      </c>
      <c r="D50" s="5" t="s">
        <v>79</v>
      </c>
      <c r="E50" s="5" t="s">
        <v>79</v>
      </c>
      <c r="F50" s="5" t="s">
        <v>79</v>
      </c>
      <c r="G50" s="5">
        <f>AVERAGE(G39:G49)</f>
        <v>6.7670576256042745</v>
      </c>
      <c r="H50" s="5" t="s">
        <v>79</v>
      </c>
      <c r="I50" s="5" t="s">
        <v>79</v>
      </c>
      <c r="J50" s="5" t="s">
        <v>79</v>
      </c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spans="1:28" x14ac:dyDescent="0.25">
      <c r="A51" s="6"/>
      <c r="K51" s="41"/>
      <c r="L51" s="41"/>
      <c r="M51" s="41"/>
      <c r="N51" s="41"/>
      <c r="O51" s="41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spans="1:28" x14ac:dyDescent="0.25">
      <c r="A52" s="6" t="s">
        <v>183</v>
      </c>
      <c r="K52" s="41"/>
      <c r="L52" s="41"/>
      <c r="M52" s="41"/>
      <c r="N52" s="41"/>
      <c r="O52" s="41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spans="1:28" x14ac:dyDescent="0.25">
      <c r="A53" s="6"/>
      <c r="K53" s="41"/>
      <c r="L53" s="41"/>
      <c r="M53" s="41"/>
      <c r="N53" s="41"/>
      <c r="O53" s="41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spans="1:28" x14ac:dyDescent="0.25">
      <c r="A54" s="6"/>
      <c r="K54" s="41"/>
      <c r="L54" s="41"/>
      <c r="M54" s="41"/>
      <c r="N54" s="41"/>
      <c r="O54" s="41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spans="1:28" x14ac:dyDescent="0.25">
      <c r="A55" s="62" t="s">
        <v>190</v>
      </c>
      <c r="B55" s="52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spans="1:28" x14ac:dyDescent="0.25">
      <c r="A56" s="49"/>
      <c r="B56" s="52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spans="1:28" ht="75" x14ac:dyDescent="0.25">
      <c r="A57" s="83" t="s">
        <v>191</v>
      </c>
      <c r="B57" s="84"/>
      <c r="C57" s="2" t="s">
        <v>121</v>
      </c>
      <c r="D57" s="2" t="s">
        <v>119</v>
      </c>
      <c r="E57" s="2" t="s">
        <v>120</v>
      </c>
      <c r="F57" s="2" t="s">
        <v>124</v>
      </c>
      <c r="G57" s="2" t="s">
        <v>225</v>
      </c>
      <c r="H57" s="2" t="s">
        <v>169</v>
      </c>
      <c r="I57" s="2" t="s">
        <v>170</v>
      </c>
      <c r="J57" s="2" t="s">
        <v>171</v>
      </c>
      <c r="K57" s="59"/>
      <c r="L57" s="59"/>
      <c r="M57" s="59"/>
      <c r="N57" s="59"/>
    </row>
    <row r="58" spans="1:28" x14ac:dyDescent="0.25">
      <c r="A58" s="16" t="s">
        <v>13</v>
      </c>
      <c r="B58" s="15" t="s">
        <v>14</v>
      </c>
      <c r="C58" s="16" t="s">
        <v>143</v>
      </c>
      <c r="D58" s="16">
        <v>1</v>
      </c>
      <c r="E58" s="16">
        <v>2</v>
      </c>
      <c r="F58" s="16">
        <v>3</v>
      </c>
      <c r="G58" s="16">
        <v>4</v>
      </c>
      <c r="H58" s="16">
        <v>5</v>
      </c>
      <c r="I58" s="16">
        <v>6</v>
      </c>
      <c r="J58" s="16">
        <v>7</v>
      </c>
      <c r="K58" s="59"/>
      <c r="L58" s="59"/>
      <c r="M58" s="59"/>
      <c r="N58" s="59"/>
    </row>
    <row r="59" spans="1:28" x14ac:dyDescent="0.25">
      <c r="A59" s="54">
        <v>2008</v>
      </c>
      <c r="B59" s="16">
        <v>1</v>
      </c>
      <c r="C59" s="5" t="s">
        <v>79</v>
      </c>
      <c r="D59" s="5" t="s">
        <v>79</v>
      </c>
      <c r="E59" s="5" t="s">
        <v>79</v>
      </c>
      <c r="F59" s="5" t="s">
        <v>79</v>
      </c>
      <c r="G59" s="5" t="s">
        <v>79</v>
      </c>
      <c r="H59" s="5" t="s">
        <v>79</v>
      </c>
      <c r="I59" s="5" t="s">
        <v>79</v>
      </c>
      <c r="J59" s="5" t="s">
        <v>79</v>
      </c>
      <c r="K59" s="59"/>
      <c r="L59" s="59"/>
      <c r="M59" s="59"/>
      <c r="N59" s="59"/>
    </row>
    <row r="60" spans="1:28" x14ac:dyDescent="0.25">
      <c r="A60" s="54">
        <v>2009</v>
      </c>
      <c r="B60" s="16">
        <v>2</v>
      </c>
      <c r="C60" s="5">
        <f t="array" ref="C60:C70">TRANSPOSE(D7:N7)</f>
        <v>15.3</v>
      </c>
      <c r="D60" s="5">
        <f>C60-$C$50</f>
        <v>-20.518181818181819</v>
      </c>
      <c r="E60" s="5">
        <f>ABS(D60)</f>
        <v>20.518181818181819</v>
      </c>
      <c r="F60" s="5">
        <f>POWER(E60,2)</f>
        <v>420.99578512396698</v>
      </c>
      <c r="G60" s="5">
        <f>C60/C17*100</f>
        <v>3.0952862634027918</v>
      </c>
      <c r="H60" s="5">
        <f>G60-$G$50</f>
        <v>-3.6717713622014827</v>
      </c>
      <c r="I60" s="5">
        <f>ABS(H60)</f>
        <v>3.6717713622014827</v>
      </c>
      <c r="J60" s="5">
        <f>POWER(I60,2)</f>
        <v>13.481904936282932</v>
      </c>
      <c r="K60" s="59"/>
      <c r="L60" s="59"/>
      <c r="M60" s="59"/>
      <c r="N60" s="59"/>
    </row>
    <row r="61" spans="1:28" x14ac:dyDescent="0.25">
      <c r="A61" s="54">
        <v>2010</v>
      </c>
      <c r="B61" s="16">
        <v>3</v>
      </c>
      <c r="C61" s="5">
        <v>14.7</v>
      </c>
      <c r="D61" s="5">
        <f t="shared" ref="D61:D69" si="13">C61-$C$50</f>
        <v>-21.118181818181821</v>
      </c>
      <c r="E61" s="5">
        <f t="shared" ref="E61:E70" si="14">ABS(D61)</f>
        <v>21.118181818181821</v>
      </c>
      <c r="F61" s="5">
        <f t="shared" ref="F61:F70" si="15">POWER(E61,2)</f>
        <v>445.97760330578524</v>
      </c>
      <c r="G61" s="5">
        <f t="shared" ref="G61:G70" si="16">C61/C18*100</f>
        <v>2.9097387173396676</v>
      </c>
      <c r="H61" s="5">
        <f t="shared" ref="H61:H69" si="17">G61-$G$50</f>
        <v>-3.8573189082646069</v>
      </c>
      <c r="I61" s="5">
        <f t="shared" ref="I61:I70" si="18">ABS(H61)</f>
        <v>3.8573189082646069</v>
      </c>
      <c r="J61" s="5">
        <f t="shared" ref="J61:J70" si="19">POWER(I61,2)</f>
        <v>14.87890916005566</v>
      </c>
      <c r="K61" s="59"/>
      <c r="L61" s="59"/>
      <c r="M61" s="59"/>
      <c r="N61" s="59"/>
    </row>
    <row r="62" spans="1:28" x14ac:dyDescent="0.25">
      <c r="A62" s="54">
        <v>2011</v>
      </c>
      <c r="B62" s="16">
        <v>4</v>
      </c>
      <c r="C62" s="5">
        <v>15.4</v>
      </c>
      <c r="D62" s="5">
        <f t="shared" si="13"/>
        <v>-20.418181818181822</v>
      </c>
      <c r="E62" s="5">
        <f t="shared" si="14"/>
        <v>20.418181818181822</v>
      </c>
      <c r="F62" s="5">
        <f t="shared" si="15"/>
        <v>416.9021487603307</v>
      </c>
      <c r="G62" s="5">
        <f t="shared" si="16"/>
        <v>3.011341415721549</v>
      </c>
      <c r="H62" s="5">
        <f t="shared" si="17"/>
        <v>-3.7557162098827255</v>
      </c>
      <c r="I62" s="5">
        <f t="shared" si="18"/>
        <v>3.7557162098827255</v>
      </c>
      <c r="J62" s="5">
        <f t="shared" si="19"/>
        <v>14.105404249175864</v>
      </c>
      <c r="K62" s="59"/>
      <c r="L62" s="59"/>
      <c r="M62" s="59"/>
      <c r="N62" s="59"/>
    </row>
    <row r="63" spans="1:28" x14ac:dyDescent="0.25">
      <c r="A63" s="54">
        <v>2012</v>
      </c>
      <c r="B63" s="16">
        <v>5</v>
      </c>
      <c r="C63" s="5">
        <v>14.6</v>
      </c>
      <c r="D63" s="5">
        <f t="shared" si="13"/>
        <v>-21.218181818181819</v>
      </c>
      <c r="E63" s="5">
        <f t="shared" si="14"/>
        <v>21.218181818181819</v>
      </c>
      <c r="F63" s="5">
        <f t="shared" si="15"/>
        <v>450.2112396694215</v>
      </c>
      <c r="G63" s="5">
        <f t="shared" si="16"/>
        <v>2.8179888052499513</v>
      </c>
      <c r="H63" s="5">
        <f t="shared" si="17"/>
        <v>-3.9490688203543232</v>
      </c>
      <c r="I63" s="5">
        <f t="shared" si="18"/>
        <v>3.9490688203543232</v>
      </c>
      <c r="J63" s="5">
        <f t="shared" si="19"/>
        <v>15.595144547894686</v>
      </c>
      <c r="K63" s="59"/>
      <c r="L63" s="59"/>
      <c r="M63" s="59"/>
      <c r="N63" s="59"/>
    </row>
    <row r="64" spans="1:28" x14ac:dyDescent="0.25">
      <c r="A64" s="54">
        <v>2013</v>
      </c>
      <c r="B64" s="16">
        <v>6</v>
      </c>
      <c r="C64" s="5">
        <v>15</v>
      </c>
      <c r="D64" s="5">
        <f t="shared" si="13"/>
        <v>-20.81818181818182</v>
      </c>
      <c r="E64" s="5">
        <f t="shared" si="14"/>
        <v>20.81818181818182</v>
      </c>
      <c r="F64" s="5">
        <f t="shared" si="15"/>
        <v>433.39669421487611</v>
      </c>
      <c r="G64" s="5">
        <f t="shared" si="16"/>
        <v>2.8658769583492552</v>
      </c>
      <c r="H64" s="5">
        <f t="shared" si="17"/>
        <v>-3.9011806672550193</v>
      </c>
      <c r="I64" s="5">
        <f t="shared" si="18"/>
        <v>3.9011806672550193</v>
      </c>
      <c r="J64" s="5">
        <f t="shared" si="19"/>
        <v>15.219210598564318</v>
      </c>
      <c r="K64" s="59"/>
      <c r="L64" s="59"/>
      <c r="M64" s="59"/>
      <c r="N64" s="59"/>
    </row>
    <row r="65" spans="1:28" x14ac:dyDescent="0.25">
      <c r="A65" s="54">
        <v>2014</v>
      </c>
      <c r="B65" s="16">
        <v>7</v>
      </c>
      <c r="C65" s="5">
        <v>16.2</v>
      </c>
      <c r="D65" s="5">
        <f t="shared" si="13"/>
        <v>-19.618181818181821</v>
      </c>
      <c r="E65" s="5">
        <f t="shared" si="14"/>
        <v>19.618181818181821</v>
      </c>
      <c r="F65" s="5">
        <f t="shared" si="15"/>
        <v>384.87305785123976</v>
      </c>
      <c r="G65" s="5">
        <f t="shared" si="16"/>
        <v>3.0751708428246016</v>
      </c>
      <c r="H65" s="5">
        <f t="shared" si="17"/>
        <v>-3.6918867827796729</v>
      </c>
      <c r="I65" s="5">
        <f t="shared" si="18"/>
        <v>3.6918867827796729</v>
      </c>
      <c r="J65" s="5">
        <f t="shared" si="19"/>
        <v>13.630028016863243</v>
      </c>
      <c r="K65" s="59"/>
      <c r="L65" s="59"/>
      <c r="M65" s="59"/>
      <c r="N65" s="59"/>
    </row>
    <row r="66" spans="1:28" x14ac:dyDescent="0.25">
      <c r="A66" s="54">
        <v>2015</v>
      </c>
      <c r="B66" s="16">
        <v>8</v>
      </c>
      <c r="C66" s="5">
        <v>19.100000000000001</v>
      </c>
      <c r="D66" s="5">
        <f t="shared" si="13"/>
        <v>-16.718181818181819</v>
      </c>
      <c r="E66" s="5">
        <f t="shared" si="14"/>
        <v>16.718181818181819</v>
      </c>
      <c r="F66" s="5">
        <f t="shared" si="15"/>
        <v>279.49760330578516</v>
      </c>
      <c r="G66" s="5">
        <f t="shared" si="16"/>
        <v>3.5747707280554</v>
      </c>
      <c r="H66" s="5">
        <f t="shared" si="17"/>
        <v>-3.1922868975488745</v>
      </c>
      <c r="I66" s="5">
        <f t="shared" si="18"/>
        <v>3.1922868975488745</v>
      </c>
      <c r="J66" s="5">
        <f>POWER(I66,2)</f>
        <v>10.190695636262218</v>
      </c>
      <c r="K66" s="59"/>
      <c r="L66" s="59"/>
      <c r="M66" s="59"/>
      <c r="N66" s="59"/>
    </row>
    <row r="67" spans="1:28" x14ac:dyDescent="0.25">
      <c r="A67" s="54">
        <v>2016</v>
      </c>
      <c r="B67" s="16">
        <v>9</v>
      </c>
      <c r="C67" s="5">
        <v>22.3</v>
      </c>
      <c r="D67" s="5">
        <f t="shared" si="13"/>
        <v>-13.518181818181819</v>
      </c>
      <c r="E67" s="5">
        <f t="shared" si="14"/>
        <v>13.518181818181819</v>
      </c>
      <c r="F67" s="5">
        <f t="shared" si="15"/>
        <v>182.74123966942153</v>
      </c>
      <c r="G67" s="5">
        <f t="shared" si="16"/>
        <v>4.0723155588020452</v>
      </c>
      <c r="H67" s="5">
        <f t="shared" si="17"/>
        <v>-2.6947420668022293</v>
      </c>
      <c r="I67" s="5">
        <f t="shared" si="18"/>
        <v>2.6947420668022293</v>
      </c>
      <c r="J67" s="5">
        <f t="shared" si="19"/>
        <v>7.2616348065935501</v>
      </c>
      <c r="K67" s="59"/>
      <c r="L67" s="59"/>
      <c r="M67" s="59"/>
      <c r="N67" s="59"/>
    </row>
    <row r="68" spans="1:28" x14ac:dyDescent="0.25">
      <c r="A68" s="54">
        <v>2017</v>
      </c>
      <c r="B68" s="16">
        <v>10</v>
      </c>
      <c r="C68" s="5">
        <v>25.7</v>
      </c>
      <c r="D68" s="5">
        <f t="shared" si="13"/>
        <v>-10.118181818181821</v>
      </c>
      <c r="E68" s="5">
        <f t="shared" si="14"/>
        <v>10.118181818181821</v>
      </c>
      <c r="F68" s="5">
        <f t="shared" si="15"/>
        <v>102.37760330578517</v>
      </c>
      <c r="G68" s="5">
        <f t="shared" si="16"/>
        <v>4.7000731528895399</v>
      </c>
      <c r="H68" s="5">
        <f t="shared" si="17"/>
        <v>-2.0669844727147346</v>
      </c>
      <c r="I68" s="5">
        <f t="shared" si="18"/>
        <v>2.0669844727147346</v>
      </c>
      <c r="J68" s="5">
        <f t="shared" si="19"/>
        <v>4.2724248104438098</v>
      </c>
      <c r="K68" s="59"/>
      <c r="L68" s="59"/>
      <c r="M68" s="59"/>
      <c r="N68" s="59"/>
    </row>
    <row r="69" spans="1:28" x14ac:dyDescent="0.25">
      <c r="A69" s="54">
        <v>2018</v>
      </c>
      <c r="B69" s="16">
        <v>11</v>
      </c>
      <c r="C69" s="5">
        <v>29.1</v>
      </c>
      <c r="D69" s="5">
        <f t="shared" si="13"/>
        <v>-6.7181818181818187</v>
      </c>
      <c r="E69" s="5">
        <f t="shared" si="14"/>
        <v>6.7181818181818187</v>
      </c>
      <c r="F69" s="5">
        <f t="shared" si="15"/>
        <v>45.133966942148767</v>
      </c>
      <c r="G69" s="5">
        <f t="shared" si="16"/>
        <v>5.2338129496402885</v>
      </c>
      <c r="H69" s="5">
        <f t="shared" si="17"/>
        <v>-1.5332446759639859</v>
      </c>
      <c r="I69" s="5">
        <f t="shared" si="18"/>
        <v>1.5332446759639859</v>
      </c>
      <c r="J69" s="5">
        <f t="shared" si="19"/>
        <v>2.3508392363719084</v>
      </c>
      <c r="K69" s="59"/>
      <c r="L69" s="59"/>
      <c r="M69" s="59"/>
      <c r="N69" s="59"/>
    </row>
    <row r="70" spans="1:28" x14ac:dyDescent="0.25">
      <c r="A70" s="54">
        <v>2019</v>
      </c>
      <c r="B70" s="16">
        <v>12</v>
      </c>
      <c r="C70" s="5">
        <v>30</v>
      </c>
      <c r="D70" s="5">
        <f>C70-$C$50</f>
        <v>-5.8181818181818201</v>
      </c>
      <c r="E70" s="5">
        <f t="shared" si="14"/>
        <v>5.8181818181818201</v>
      </c>
      <c r="F70" s="5">
        <f t="shared" si="15"/>
        <v>33.85123966942151</v>
      </c>
      <c r="G70" s="5">
        <f t="shared" si="16"/>
        <v>5.3456878118317883</v>
      </c>
      <c r="H70" s="5">
        <f>G70-$G$50</f>
        <v>-1.4213698137724862</v>
      </c>
      <c r="I70" s="5">
        <f t="shared" si="18"/>
        <v>1.4213698137724862</v>
      </c>
      <c r="J70" s="5">
        <f t="shared" si="19"/>
        <v>2.020292147503632</v>
      </c>
      <c r="K70" s="59"/>
      <c r="L70" s="59"/>
      <c r="M70" s="59"/>
      <c r="N70" s="59"/>
    </row>
    <row r="71" spans="1:28" x14ac:dyDescent="0.25">
      <c r="A71" s="54" t="s">
        <v>126</v>
      </c>
      <c r="B71" s="16">
        <v>13</v>
      </c>
      <c r="C71" s="5">
        <f>AVERAGE(C60:C70)</f>
        <v>19.763636363636365</v>
      </c>
      <c r="D71" s="5" t="s">
        <v>79</v>
      </c>
      <c r="E71" s="5" t="s">
        <v>79</v>
      </c>
      <c r="F71" s="5" t="s">
        <v>79</v>
      </c>
      <c r="G71" s="5">
        <f>AVERAGE(G60:G70)</f>
        <v>3.7001875640097168</v>
      </c>
      <c r="H71" s="5" t="s">
        <v>79</v>
      </c>
      <c r="I71" s="5" t="s">
        <v>79</v>
      </c>
      <c r="J71" s="5" t="s">
        <v>79</v>
      </c>
      <c r="K71" s="59"/>
      <c r="L71" s="59"/>
      <c r="M71" s="59"/>
      <c r="N71" s="59"/>
    </row>
    <row r="72" spans="1:28" x14ac:dyDescent="0.25">
      <c r="A72" s="6"/>
      <c r="K72" s="41"/>
      <c r="L72" s="41"/>
      <c r="M72" s="41"/>
      <c r="N72" s="41"/>
      <c r="O72" s="41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spans="1:28" x14ac:dyDescent="0.25">
      <c r="A73" s="6" t="s">
        <v>183</v>
      </c>
      <c r="K73" s="41"/>
      <c r="L73" s="41"/>
      <c r="M73" s="41"/>
      <c r="N73" s="41"/>
      <c r="O73" s="41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6" spans="1:28" x14ac:dyDescent="0.25">
      <c r="A76" s="8" t="s">
        <v>86</v>
      </c>
    </row>
    <row r="77" spans="1:28" x14ac:dyDescent="0.25">
      <c r="A77" s="95" t="s">
        <v>12</v>
      </c>
      <c r="B77" s="96"/>
      <c r="C77" s="1">
        <v>2008</v>
      </c>
      <c r="D77" s="2">
        <v>2009</v>
      </c>
      <c r="E77" s="1">
        <v>2010</v>
      </c>
      <c r="F77" s="2">
        <v>2011</v>
      </c>
      <c r="G77" s="1">
        <v>2012</v>
      </c>
      <c r="H77" s="2">
        <v>2013</v>
      </c>
      <c r="I77" s="1">
        <v>2014</v>
      </c>
      <c r="J77" s="2">
        <v>2015</v>
      </c>
      <c r="K77" s="1">
        <v>2016</v>
      </c>
      <c r="L77" s="2">
        <v>2017</v>
      </c>
      <c r="M77" s="1">
        <v>2018</v>
      </c>
      <c r="N77" s="1">
        <v>2019</v>
      </c>
    </row>
    <row r="78" spans="1:28" x14ac:dyDescent="0.25">
      <c r="A78" s="17" t="s">
        <v>13</v>
      </c>
      <c r="B78" s="18" t="s">
        <v>14</v>
      </c>
      <c r="C78" s="18">
        <v>1</v>
      </c>
      <c r="D78" s="15">
        <v>2</v>
      </c>
      <c r="E78" s="18">
        <v>3</v>
      </c>
      <c r="F78" s="15">
        <v>4</v>
      </c>
      <c r="G78" s="18">
        <v>5</v>
      </c>
      <c r="H78" s="15">
        <v>6</v>
      </c>
      <c r="I78" s="18">
        <v>7</v>
      </c>
      <c r="J78" s="15">
        <v>8</v>
      </c>
      <c r="K78" s="18">
        <v>9</v>
      </c>
      <c r="L78" s="15">
        <v>10</v>
      </c>
      <c r="M78" s="18">
        <v>11</v>
      </c>
      <c r="N78" s="18">
        <v>12</v>
      </c>
    </row>
    <row r="79" spans="1:28" x14ac:dyDescent="0.25">
      <c r="A79" s="4" t="s">
        <v>5</v>
      </c>
      <c r="B79" s="19">
        <v>1</v>
      </c>
      <c r="C79" s="7" t="s">
        <v>6</v>
      </c>
      <c r="D79" s="5" t="s">
        <v>79</v>
      </c>
      <c r="E79" s="5">
        <f>E6-D6</f>
        <v>6.6000000000000014</v>
      </c>
      <c r="F79" s="5">
        <f t="shared" ref="F79:N79" si="20">F6-E6</f>
        <v>-0.60000000000000142</v>
      </c>
      <c r="G79" s="5">
        <f t="shared" si="20"/>
        <v>0.20000000000000284</v>
      </c>
      <c r="H79" s="5">
        <f t="shared" si="20"/>
        <v>-0.30000000000000426</v>
      </c>
      <c r="I79" s="5">
        <f t="shared" si="20"/>
        <v>3.5</v>
      </c>
      <c r="J79" s="5">
        <f t="shared" si="20"/>
        <v>-20.599999999999998</v>
      </c>
      <c r="K79" s="5">
        <f t="shared" si="20"/>
        <v>10.8</v>
      </c>
      <c r="L79" s="5">
        <f t="shared" si="20"/>
        <v>6</v>
      </c>
      <c r="M79" s="5">
        <f t="shared" si="20"/>
        <v>5</v>
      </c>
      <c r="N79" s="5">
        <f t="shared" si="20"/>
        <v>-0.70000000000000284</v>
      </c>
    </row>
    <row r="80" spans="1:28" x14ac:dyDescent="0.25">
      <c r="A80" s="3" t="s">
        <v>7</v>
      </c>
      <c r="B80" s="19">
        <v>2</v>
      </c>
      <c r="C80" s="7" t="s">
        <v>6</v>
      </c>
      <c r="D80" s="5" t="s">
        <v>79</v>
      </c>
      <c r="E80" s="5">
        <f>E7-D7</f>
        <v>-0.60000000000000142</v>
      </c>
      <c r="F80" s="5">
        <f t="shared" ref="F80:N80" si="21">F7-E7</f>
        <v>0.70000000000000107</v>
      </c>
      <c r="G80" s="5">
        <f t="shared" si="21"/>
        <v>-0.80000000000000071</v>
      </c>
      <c r="H80" s="5">
        <f t="shared" si="21"/>
        <v>0.40000000000000036</v>
      </c>
      <c r="I80" s="5">
        <f t="shared" si="21"/>
        <v>1.1999999999999993</v>
      </c>
      <c r="J80" s="5">
        <f t="shared" si="21"/>
        <v>2.9000000000000021</v>
      </c>
      <c r="K80" s="5">
        <f t="shared" si="21"/>
        <v>3.1999999999999993</v>
      </c>
      <c r="L80" s="5">
        <f t="shared" si="21"/>
        <v>3.3999999999999986</v>
      </c>
      <c r="M80" s="5">
        <f t="shared" si="21"/>
        <v>3.4000000000000021</v>
      </c>
      <c r="N80" s="5">
        <f t="shared" si="21"/>
        <v>0.89999999999999858</v>
      </c>
    </row>
    <row r="82" spans="1:14" x14ac:dyDescent="0.25">
      <c r="A82" s="6" t="s">
        <v>26</v>
      </c>
    </row>
    <row r="84" spans="1:14" x14ac:dyDescent="0.25">
      <c r="A84" s="9" t="s">
        <v>108</v>
      </c>
    </row>
    <row r="85" spans="1:14" x14ac:dyDescent="0.25">
      <c r="A85" s="95" t="s">
        <v>12</v>
      </c>
      <c r="B85" s="96"/>
      <c r="C85" s="1">
        <v>2008</v>
      </c>
      <c r="D85" s="2">
        <v>2009</v>
      </c>
      <c r="E85" s="1">
        <v>2010</v>
      </c>
      <c r="F85" s="2">
        <v>2011</v>
      </c>
      <c r="G85" s="1">
        <v>2012</v>
      </c>
      <c r="H85" s="2">
        <v>2013</v>
      </c>
      <c r="I85" s="1">
        <v>2014</v>
      </c>
      <c r="J85" s="2">
        <v>2015</v>
      </c>
      <c r="K85" s="1">
        <v>2016</v>
      </c>
      <c r="L85" s="2">
        <v>2017</v>
      </c>
      <c r="M85" s="1">
        <v>2018</v>
      </c>
      <c r="N85" s="1">
        <v>2019</v>
      </c>
    </row>
    <row r="86" spans="1:14" x14ac:dyDescent="0.25">
      <c r="A86" s="17" t="s">
        <v>13</v>
      </c>
      <c r="B86" s="18" t="s">
        <v>14</v>
      </c>
      <c r="C86" s="18">
        <v>1</v>
      </c>
      <c r="D86" s="15">
        <v>2</v>
      </c>
      <c r="E86" s="18">
        <v>3</v>
      </c>
      <c r="F86" s="15">
        <v>4</v>
      </c>
      <c r="G86" s="18">
        <v>5</v>
      </c>
      <c r="H86" s="15">
        <v>6</v>
      </c>
      <c r="I86" s="18">
        <v>7</v>
      </c>
      <c r="J86" s="15">
        <v>8</v>
      </c>
      <c r="K86" s="18">
        <v>9</v>
      </c>
      <c r="L86" s="15">
        <v>10</v>
      </c>
      <c r="M86" s="18">
        <v>11</v>
      </c>
      <c r="N86" s="18">
        <v>12</v>
      </c>
    </row>
    <row r="87" spans="1:14" x14ac:dyDescent="0.25">
      <c r="A87" s="4" t="s">
        <v>5</v>
      </c>
      <c r="B87" s="19">
        <v>2</v>
      </c>
      <c r="C87" s="7" t="s">
        <v>6</v>
      </c>
      <c r="D87" s="5">
        <f>(D5/$E5)*100</f>
        <v>97.842438638163117</v>
      </c>
      <c r="E87" s="5">
        <f t="shared" ref="E87:N87" si="22">(E5/$E5)*100</f>
        <v>100</v>
      </c>
      <c r="F87" s="5">
        <f t="shared" si="22"/>
        <v>101.22723673792558</v>
      </c>
      <c r="G87" s="5">
        <f t="shared" si="22"/>
        <v>102.55344418052258</v>
      </c>
      <c r="H87" s="5">
        <f t="shared" si="22"/>
        <v>103.60253365003959</v>
      </c>
      <c r="I87" s="5">
        <f t="shared" si="22"/>
        <v>104.27553444180522</v>
      </c>
      <c r="J87" s="5">
        <f t="shared" si="22"/>
        <v>105.76009501187649</v>
      </c>
      <c r="K87" s="5">
        <f t="shared" si="22"/>
        <v>108.39271575613618</v>
      </c>
      <c r="L87" s="5">
        <f t="shared" si="22"/>
        <v>108.23436262866191</v>
      </c>
      <c r="M87" s="5">
        <f t="shared" si="22"/>
        <v>110.055423594616</v>
      </c>
      <c r="N87" s="5">
        <f t="shared" si="22"/>
        <v>111.08471892319875</v>
      </c>
    </row>
    <row r="88" spans="1:14" x14ac:dyDescent="0.25">
      <c r="A88" s="3" t="s">
        <v>7</v>
      </c>
      <c r="B88" s="19">
        <v>3</v>
      </c>
      <c r="C88" s="7" t="s">
        <v>6</v>
      </c>
      <c r="D88" s="5">
        <f>(D6/$E6)*100</f>
        <v>82.631578947368425</v>
      </c>
      <c r="E88" s="5">
        <f t="shared" ref="E88:N88" si="23">(E6/$E6)*100</f>
        <v>100</v>
      </c>
      <c r="F88" s="5">
        <f t="shared" si="23"/>
        <v>98.421052631578945</v>
      </c>
      <c r="G88" s="5">
        <f t="shared" si="23"/>
        <v>98.947368421052644</v>
      </c>
      <c r="H88" s="5">
        <f t="shared" si="23"/>
        <v>98.157894736842096</v>
      </c>
      <c r="I88" s="5">
        <f t="shared" si="23"/>
        <v>107.36842105263158</v>
      </c>
      <c r="J88" s="5">
        <f t="shared" si="23"/>
        <v>53.157894736842103</v>
      </c>
      <c r="K88" s="5">
        <f t="shared" si="23"/>
        <v>81.578947368421055</v>
      </c>
      <c r="L88" s="5">
        <f t="shared" si="23"/>
        <v>97.368421052631575</v>
      </c>
      <c r="M88" s="5">
        <f t="shared" si="23"/>
        <v>110.5263157894737</v>
      </c>
      <c r="N88" s="5">
        <f t="shared" si="23"/>
        <v>108.68421052631578</v>
      </c>
    </row>
    <row r="89" spans="1:14" x14ac:dyDescent="0.25">
      <c r="A89" s="49"/>
      <c r="B89" s="5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  <row r="90" spans="1:14" x14ac:dyDescent="0.25">
      <c r="A90" s="6" t="s">
        <v>26</v>
      </c>
      <c r="B90" s="5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</row>
    <row r="91" spans="1:14" x14ac:dyDescent="0.25">
      <c r="A91" s="49"/>
      <c r="B91" s="5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</row>
    <row r="92" spans="1:14" x14ac:dyDescent="0.25">
      <c r="A92" s="9" t="s">
        <v>109</v>
      </c>
    </row>
    <row r="93" spans="1:14" x14ac:dyDescent="0.25">
      <c r="A93" s="95" t="s">
        <v>12</v>
      </c>
      <c r="B93" s="96"/>
      <c r="C93" s="1">
        <v>2008</v>
      </c>
      <c r="D93" s="2">
        <v>2009</v>
      </c>
      <c r="E93" s="1">
        <v>2010</v>
      </c>
      <c r="F93" s="2">
        <v>2011</v>
      </c>
      <c r="G93" s="1">
        <v>2012</v>
      </c>
      <c r="H93" s="2">
        <v>2013</v>
      </c>
      <c r="I93" s="1">
        <v>2014</v>
      </c>
      <c r="J93" s="2">
        <v>2015</v>
      </c>
      <c r="K93" s="1">
        <v>2016</v>
      </c>
      <c r="L93" s="2">
        <v>2017</v>
      </c>
      <c r="M93" s="1">
        <v>2018</v>
      </c>
      <c r="N93" s="1">
        <v>2019</v>
      </c>
    </row>
    <row r="94" spans="1:14" x14ac:dyDescent="0.25">
      <c r="A94" s="17" t="s">
        <v>13</v>
      </c>
      <c r="B94" s="18" t="s">
        <v>14</v>
      </c>
      <c r="C94" s="18">
        <v>1</v>
      </c>
      <c r="D94" s="15">
        <v>2</v>
      </c>
      <c r="E94" s="18">
        <v>3</v>
      </c>
      <c r="F94" s="15">
        <v>4</v>
      </c>
      <c r="G94" s="18">
        <v>5</v>
      </c>
      <c r="H94" s="15">
        <v>6</v>
      </c>
      <c r="I94" s="18">
        <v>7</v>
      </c>
      <c r="J94" s="15">
        <v>8</v>
      </c>
      <c r="K94" s="18">
        <v>9</v>
      </c>
      <c r="L94" s="15">
        <v>10</v>
      </c>
      <c r="M94" s="18">
        <v>11</v>
      </c>
      <c r="N94" s="18">
        <v>12</v>
      </c>
    </row>
    <row r="95" spans="1:14" x14ac:dyDescent="0.25">
      <c r="A95" s="4" t="s">
        <v>5</v>
      </c>
      <c r="B95" s="19">
        <v>2</v>
      </c>
      <c r="C95" s="7" t="s">
        <v>6</v>
      </c>
      <c r="D95" s="5">
        <f>(D6/$K6)*100</f>
        <v>101.29032258064517</v>
      </c>
      <c r="E95" s="5">
        <f t="shared" ref="E95:N95" si="24">(E6/$K6)*100</f>
        <v>122.58064516129032</v>
      </c>
      <c r="F95" s="5">
        <f t="shared" si="24"/>
        <v>120.64516129032256</v>
      </c>
      <c r="G95" s="5">
        <f t="shared" si="24"/>
        <v>121.29032258064515</v>
      </c>
      <c r="H95" s="5">
        <f t="shared" si="24"/>
        <v>120.32258064516128</v>
      </c>
      <c r="I95" s="5">
        <f t="shared" si="24"/>
        <v>131.61290322580643</v>
      </c>
      <c r="J95" s="5">
        <f t="shared" si="24"/>
        <v>65.161290322580641</v>
      </c>
      <c r="K95" s="5">
        <f t="shared" si="24"/>
        <v>100</v>
      </c>
      <c r="L95" s="5">
        <f t="shared" si="24"/>
        <v>119.35483870967742</v>
      </c>
      <c r="M95" s="5">
        <f t="shared" si="24"/>
        <v>135.48387096774192</v>
      </c>
      <c r="N95" s="5">
        <f t="shared" si="24"/>
        <v>133.2258064516129</v>
      </c>
    </row>
    <row r="96" spans="1:14" x14ac:dyDescent="0.25">
      <c r="A96" s="3" t="s">
        <v>7</v>
      </c>
      <c r="B96" s="19">
        <v>3</v>
      </c>
      <c r="C96" s="7" t="s">
        <v>6</v>
      </c>
      <c r="D96" s="5">
        <f>(D7/$K7)*100</f>
        <v>68.609865470852014</v>
      </c>
      <c r="E96" s="5">
        <f t="shared" ref="E96:N96" si="25">(E7/$K7)*100</f>
        <v>65.919282511210753</v>
      </c>
      <c r="F96" s="5">
        <f t="shared" si="25"/>
        <v>69.058295964125563</v>
      </c>
      <c r="G96" s="5">
        <f t="shared" si="25"/>
        <v>65.470852017937219</v>
      </c>
      <c r="H96" s="5">
        <f t="shared" si="25"/>
        <v>67.264573991031384</v>
      </c>
      <c r="I96" s="5">
        <f t="shared" si="25"/>
        <v>72.645739910313907</v>
      </c>
      <c r="J96" s="5">
        <f t="shared" si="25"/>
        <v>85.650224215246638</v>
      </c>
      <c r="K96" s="5">
        <f t="shared" si="25"/>
        <v>100</v>
      </c>
      <c r="L96" s="5">
        <f t="shared" si="25"/>
        <v>115.24663677130044</v>
      </c>
      <c r="M96" s="5">
        <f t="shared" si="25"/>
        <v>130.49327354260089</v>
      </c>
      <c r="N96" s="5">
        <f t="shared" si="25"/>
        <v>134.52914798206277</v>
      </c>
    </row>
    <row r="97" spans="1:28" x14ac:dyDescent="0.25">
      <c r="A97" s="49"/>
      <c r="B97" s="5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</row>
    <row r="98" spans="1:28" x14ac:dyDescent="0.25">
      <c r="A98" s="6" t="s">
        <v>26</v>
      </c>
      <c r="B98" s="5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</row>
    <row r="99" spans="1:28" x14ac:dyDescent="0.25">
      <c r="A99" s="49"/>
      <c r="B99" s="52"/>
      <c r="C99" s="41"/>
      <c r="D99" s="41"/>
      <c r="E99" s="41"/>
      <c r="F99" s="41"/>
      <c r="G99" s="41"/>
      <c r="H99" s="41"/>
    </row>
    <row r="101" spans="1:28" x14ac:dyDescent="0.25">
      <c r="A101" s="9" t="s">
        <v>92</v>
      </c>
    </row>
    <row r="102" spans="1:28" ht="64.5" x14ac:dyDescent="0.25">
      <c r="A102" s="95" t="s">
        <v>12</v>
      </c>
      <c r="B102" s="96"/>
      <c r="C102" s="1">
        <v>2008</v>
      </c>
      <c r="D102" s="2">
        <v>2009</v>
      </c>
      <c r="E102" s="1">
        <v>2010</v>
      </c>
      <c r="F102" s="2">
        <v>2011</v>
      </c>
      <c r="G102" s="1">
        <v>2012</v>
      </c>
      <c r="H102" s="2">
        <v>2013</v>
      </c>
      <c r="I102" s="1">
        <v>2014</v>
      </c>
      <c r="J102" s="2">
        <v>2015</v>
      </c>
      <c r="K102" s="1">
        <v>2016</v>
      </c>
      <c r="L102" s="2">
        <v>2017</v>
      </c>
      <c r="M102" s="1">
        <v>2018</v>
      </c>
      <c r="N102" s="1">
        <v>2019</v>
      </c>
      <c r="O102" s="1" t="s">
        <v>95</v>
      </c>
      <c r="P102" s="2" t="s">
        <v>164</v>
      </c>
      <c r="Q102" s="2" t="s">
        <v>165</v>
      </c>
      <c r="R102" s="2" t="s">
        <v>166</v>
      </c>
      <c r="S102" s="2" t="s">
        <v>116</v>
      </c>
      <c r="T102" s="2" t="s">
        <v>117</v>
      </c>
      <c r="U102" s="2" t="s">
        <v>113</v>
      </c>
      <c r="V102" s="2" t="s">
        <v>118</v>
      </c>
      <c r="W102" s="2" t="s">
        <v>167</v>
      </c>
      <c r="X102" s="2" t="s">
        <v>125</v>
      </c>
      <c r="Y102" s="2" t="s">
        <v>172</v>
      </c>
      <c r="Z102" s="2" t="s">
        <v>128</v>
      </c>
      <c r="AA102" s="2" t="s">
        <v>130</v>
      </c>
      <c r="AB102" s="2" t="s">
        <v>131</v>
      </c>
    </row>
    <row r="103" spans="1:28" x14ac:dyDescent="0.25">
      <c r="A103" s="17" t="s">
        <v>13</v>
      </c>
      <c r="B103" s="18" t="s">
        <v>14</v>
      </c>
      <c r="C103" s="18">
        <v>1</v>
      </c>
      <c r="D103" s="15">
        <v>2</v>
      </c>
      <c r="E103" s="18">
        <v>3</v>
      </c>
      <c r="F103" s="15">
        <v>4</v>
      </c>
      <c r="G103" s="18">
        <v>5</v>
      </c>
      <c r="H103" s="15">
        <v>6</v>
      </c>
      <c r="I103" s="18">
        <v>7</v>
      </c>
      <c r="J103" s="15">
        <v>8</v>
      </c>
      <c r="K103" s="18">
        <v>9</v>
      </c>
      <c r="L103" s="15">
        <v>10</v>
      </c>
      <c r="M103" s="18">
        <v>11</v>
      </c>
      <c r="N103" s="18">
        <v>12</v>
      </c>
      <c r="O103" s="18">
        <v>13</v>
      </c>
      <c r="P103" s="15">
        <v>14</v>
      </c>
      <c r="Q103" s="15">
        <v>15</v>
      </c>
      <c r="R103" s="15">
        <v>16</v>
      </c>
      <c r="S103" s="15">
        <v>17</v>
      </c>
      <c r="T103" s="15">
        <v>18</v>
      </c>
      <c r="U103" s="15">
        <v>19</v>
      </c>
      <c r="V103" s="15">
        <v>20</v>
      </c>
      <c r="W103" s="15">
        <v>21</v>
      </c>
      <c r="X103" s="15">
        <v>23</v>
      </c>
      <c r="Y103" s="15">
        <v>24</v>
      </c>
      <c r="Z103" s="15">
        <v>25</v>
      </c>
      <c r="AA103" s="15">
        <v>26</v>
      </c>
      <c r="AB103" s="15">
        <v>27</v>
      </c>
    </row>
    <row r="104" spans="1:28" ht="19.5" x14ac:dyDescent="0.25">
      <c r="A104" s="4" t="s">
        <v>5</v>
      </c>
      <c r="B104" s="19">
        <v>1</v>
      </c>
      <c r="C104" s="7" t="s">
        <v>6</v>
      </c>
      <c r="D104" s="5">
        <f t="shared" ref="D104:N104" si="26">(D6/D$5)*100</f>
        <v>6.3524175601861215</v>
      </c>
      <c r="E104" s="5">
        <f t="shared" si="26"/>
        <v>7.5217735550277123</v>
      </c>
      <c r="F104" s="5">
        <f t="shared" si="26"/>
        <v>7.3132577238951901</v>
      </c>
      <c r="G104" s="5">
        <f t="shared" si="26"/>
        <v>7.2572862381779579</v>
      </c>
      <c r="H104" s="5">
        <f t="shared" si="26"/>
        <v>7.1264807030951465</v>
      </c>
      <c r="I104" s="5">
        <f t="shared" si="26"/>
        <v>7.7448747152619593</v>
      </c>
      <c r="J104" s="5">
        <f t="shared" si="26"/>
        <v>3.7806475762680147</v>
      </c>
      <c r="K104" s="5">
        <f t="shared" si="26"/>
        <v>5.6610664718772821</v>
      </c>
      <c r="L104" s="5">
        <f t="shared" si="26"/>
        <v>6.766642282370154</v>
      </c>
      <c r="M104" s="5">
        <f t="shared" si="26"/>
        <v>7.5539568345323742</v>
      </c>
      <c r="N104" s="5">
        <f t="shared" si="26"/>
        <v>7.3592302209550944</v>
      </c>
      <c r="O104" s="5">
        <f>AVERAGE(C104:N104)</f>
        <v>6.7670576256042745</v>
      </c>
      <c r="P104" s="42">
        <f>QUARTILE(D104:N104,4)</f>
        <v>7.7448747152619593</v>
      </c>
      <c r="Q104" s="42">
        <f>QUARTILE(D104:N104, 0)</f>
        <v>3.7806475762680147</v>
      </c>
      <c r="R104" s="42">
        <f>P104-Q104</f>
        <v>3.9642271389939445</v>
      </c>
      <c r="S104" s="42">
        <f>QUARTILE(D104:N104,1)</f>
        <v>6.5595299212781377</v>
      </c>
      <c r="T104" s="42">
        <f>QUARTILE(D104:N104, 3)</f>
        <v>7.4405018879914033</v>
      </c>
      <c r="U104" s="42">
        <f>QUARTILE(D104:N104, 2)</f>
        <v>7.2572862381779579</v>
      </c>
      <c r="V104" s="42" t="s">
        <v>223</v>
      </c>
      <c r="W104" s="42">
        <f>SUM(G39:G49)/COUNTA(G39:G49)</f>
        <v>6.7670576256042745</v>
      </c>
      <c r="X104" s="42">
        <f>SUM(J39:J49)/COUNTA(J39:J49)</f>
        <v>1.2252029729544704</v>
      </c>
      <c r="Y104" s="42">
        <f>SQRT(X104)</f>
        <v>1.1068888710952289</v>
      </c>
      <c r="Z104" s="42">
        <f>R104/O104*100</f>
        <v>58.581252862316987</v>
      </c>
      <c r="AA104" s="42">
        <f t="shared" ref="AA104" si="27">W104/O104*100</f>
        <v>100</v>
      </c>
      <c r="AB104" s="42">
        <f t="shared" ref="AB104" si="28">Y104/O104*100</f>
        <v>16.35701854979235</v>
      </c>
    </row>
    <row r="105" spans="1:28" ht="19.5" x14ac:dyDescent="0.25">
      <c r="A105" s="3" t="s">
        <v>7</v>
      </c>
      <c r="B105" s="19">
        <v>2</v>
      </c>
      <c r="C105" s="7" t="s">
        <v>6</v>
      </c>
      <c r="D105" s="5">
        <f t="shared" ref="D105:N105" si="29">(D7/D$5)*100</f>
        <v>3.0952862634027918</v>
      </c>
      <c r="E105" s="5">
        <f t="shared" si="29"/>
        <v>2.9097387173396676</v>
      </c>
      <c r="F105" s="5">
        <f t="shared" si="29"/>
        <v>3.011341415721549</v>
      </c>
      <c r="G105" s="5">
        <f t="shared" si="29"/>
        <v>2.8179888052499513</v>
      </c>
      <c r="H105" s="5">
        <f t="shared" si="29"/>
        <v>2.8658769583492552</v>
      </c>
      <c r="I105" s="5">
        <f t="shared" si="29"/>
        <v>3.0751708428246016</v>
      </c>
      <c r="J105" s="5">
        <f t="shared" si="29"/>
        <v>3.5747707280554</v>
      </c>
      <c r="K105" s="5">
        <f t="shared" si="29"/>
        <v>4.0723155588020452</v>
      </c>
      <c r="L105" s="5">
        <f t="shared" si="29"/>
        <v>4.7000731528895399</v>
      </c>
      <c r="M105" s="5">
        <f t="shared" si="29"/>
        <v>5.2338129496402885</v>
      </c>
      <c r="N105" s="5">
        <f t="shared" si="29"/>
        <v>5.3456878118317883</v>
      </c>
      <c r="O105" s="5">
        <f>AVERAGE(C105:N105)</f>
        <v>3.7001875640097168</v>
      </c>
      <c r="P105" s="42">
        <f>QUARTILE(D105:N105,4)</f>
        <v>5.3456878118317883</v>
      </c>
      <c r="Q105" s="42">
        <f>QUARTILE(D105:N105, 0)</f>
        <v>2.8179888052499513</v>
      </c>
      <c r="R105" s="42">
        <f>P105-Q105</f>
        <v>2.527699006581837</v>
      </c>
      <c r="S105" s="42">
        <f>QUARTILE(D105:N105,1)</f>
        <v>2.9605400665306085</v>
      </c>
      <c r="T105" s="42">
        <f>QUARTILE(D105:N105, 3)</f>
        <v>4.3861943558457925</v>
      </c>
      <c r="U105" s="42">
        <f>QUARTILE(D105:N105, 2)</f>
        <v>3.0952862634027918</v>
      </c>
      <c r="V105" s="42" t="s">
        <v>224</v>
      </c>
      <c r="W105" s="42">
        <f>SUM(I60:I70)/COUNTA(I60:I70)</f>
        <v>3.0668700615945585</v>
      </c>
      <c r="X105" s="42">
        <f>SUM(J60:J70)/COUNTA(J60:J70)</f>
        <v>10.273317104182892</v>
      </c>
      <c r="Y105" s="42">
        <f>SQRT(X105)</f>
        <v>3.2052015699769791</v>
      </c>
      <c r="Z105" s="42">
        <f>R105/O105*100</f>
        <v>68.312726391704587</v>
      </c>
      <c r="AA105" s="42">
        <f>W105/O105*100</f>
        <v>82.884178397463117</v>
      </c>
      <c r="AB105" s="42">
        <f>Y105/O105*100</f>
        <v>86.622678297520011</v>
      </c>
    </row>
    <row r="106" spans="1:28" x14ac:dyDescent="0.25">
      <c r="A106" s="49"/>
      <c r="B106" s="5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 spans="1:28" x14ac:dyDescent="0.25">
      <c r="A107" s="6" t="s">
        <v>26</v>
      </c>
      <c r="B107" s="5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 spans="1:28" x14ac:dyDescent="0.25">
      <c r="A108" s="49"/>
      <c r="B108" s="5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10" spans="1:28" x14ac:dyDescent="0.25">
      <c r="A110" s="9" t="s">
        <v>93</v>
      </c>
    </row>
    <row r="111" spans="1:28" ht="75" x14ac:dyDescent="0.25">
      <c r="A111" s="95" t="s">
        <v>12</v>
      </c>
      <c r="B111" s="96"/>
      <c r="C111" s="1">
        <v>2008</v>
      </c>
      <c r="D111" s="2">
        <v>2009</v>
      </c>
      <c r="E111" s="1">
        <v>2010</v>
      </c>
      <c r="F111" s="2">
        <v>2011</v>
      </c>
      <c r="G111" s="1">
        <v>2012</v>
      </c>
      <c r="H111" s="2">
        <v>2013</v>
      </c>
      <c r="I111" s="1">
        <v>2014</v>
      </c>
      <c r="J111" s="2">
        <v>2015</v>
      </c>
      <c r="K111" s="1">
        <v>2016</v>
      </c>
      <c r="L111" s="2">
        <v>2017</v>
      </c>
      <c r="M111" s="1">
        <v>2018</v>
      </c>
      <c r="N111" s="1">
        <v>2019</v>
      </c>
      <c r="O111" s="69" t="s">
        <v>293</v>
      </c>
      <c r="P111" s="69" t="s">
        <v>292</v>
      </c>
    </row>
    <row r="112" spans="1:28" x14ac:dyDescent="0.25">
      <c r="A112" s="17" t="s">
        <v>13</v>
      </c>
      <c r="B112" s="18" t="s">
        <v>14</v>
      </c>
      <c r="C112" s="18">
        <v>1</v>
      </c>
      <c r="D112" s="15">
        <v>2</v>
      </c>
      <c r="E112" s="18">
        <v>3</v>
      </c>
      <c r="F112" s="15">
        <v>4</v>
      </c>
      <c r="G112" s="18">
        <v>5</v>
      </c>
      <c r="H112" s="15">
        <v>6</v>
      </c>
      <c r="I112" s="18">
        <v>7</v>
      </c>
      <c r="J112" s="15">
        <v>8</v>
      </c>
      <c r="K112" s="18">
        <v>9</v>
      </c>
      <c r="L112" s="15">
        <v>10</v>
      </c>
      <c r="M112" s="18">
        <v>11</v>
      </c>
      <c r="N112" s="18">
        <v>12</v>
      </c>
      <c r="O112" s="70">
        <v>13</v>
      </c>
      <c r="P112" s="15">
        <v>14</v>
      </c>
    </row>
    <row r="113" spans="1:16" x14ac:dyDescent="0.25">
      <c r="A113" s="4" t="s">
        <v>82</v>
      </c>
      <c r="B113" s="18">
        <v>1</v>
      </c>
      <c r="C113" s="44" t="s">
        <v>79</v>
      </c>
      <c r="D113" s="5">
        <f>(D5/C5)*100</f>
        <v>101.1665984445354</v>
      </c>
      <c r="E113" s="5">
        <f>(E5/D5)*100</f>
        <v>102.20513857980981</v>
      </c>
      <c r="F113" s="5">
        <f t="shared" ref="F113:N113" si="30">(F5/E5)*100</f>
        <v>101.22723673792558</v>
      </c>
      <c r="G113" s="5">
        <f t="shared" si="30"/>
        <v>101.31012905748926</v>
      </c>
      <c r="H113" s="5">
        <f t="shared" si="30"/>
        <v>101.0229685388921</v>
      </c>
      <c r="I113" s="5">
        <f t="shared" si="30"/>
        <v>100.64959877722583</v>
      </c>
      <c r="J113" s="5">
        <f t="shared" si="30"/>
        <v>101.42369020501138</v>
      </c>
      <c r="K113" s="5">
        <f t="shared" si="30"/>
        <v>102.48923825566163</v>
      </c>
      <c r="L113" s="5">
        <f t="shared" si="30"/>
        <v>99.853907962016052</v>
      </c>
      <c r="M113" s="5">
        <f t="shared" si="30"/>
        <v>101.68251645940016</v>
      </c>
      <c r="N113" s="5">
        <f t="shared" si="30"/>
        <v>100.93525179856115</v>
      </c>
      <c r="O113" s="71">
        <f>GEOMEAN(E113:N113)</f>
        <v>101.27743768728057</v>
      </c>
      <c r="P113" s="72">
        <f>O113-100</f>
        <v>1.2774376872805675</v>
      </c>
    </row>
    <row r="114" spans="1:16" x14ac:dyDescent="0.25">
      <c r="A114" s="4" t="s">
        <v>5</v>
      </c>
      <c r="B114" s="19">
        <v>2</v>
      </c>
      <c r="C114" s="7" t="s">
        <v>6</v>
      </c>
      <c r="D114" s="5" t="s">
        <v>79</v>
      </c>
      <c r="E114" s="5">
        <f>(E6/D6)*100</f>
        <v>121.01910828025477</v>
      </c>
      <c r="F114" s="5">
        <f t="shared" ref="F114:N114" si="31">(F6/E6)*100</f>
        <v>98.421052631578945</v>
      </c>
      <c r="G114" s="5">
        <f t="shared" si="31"/>
        <v>100.53475935828877</v>
      </c>
      <c r="H114" s="5">
        <f t="shared" si="31"/>
        <v>99.202127659574458</v>
      </c>
      <c r="I114" s="5">
        <f>(I6/H6)*100</f>
        <v>109.3833780160858</v>
      </c>
      <c r="J114" s="5">
        <f t="shared" si="31"/>
        <v>49.509803921568633</v>
      </c>
      <c r="K114" s="5">
        <f t="shared" si="31"/>
        <v>153.46534653465346</v>
      </c>
      <c r="L114" s="5">
        <f t="shared" si="31"/>
        <v>119.35483870967742</v>
      </c>
      <c r="M114" s="5">
        <f t="shared" si="31"/>
        <v>113.51351351351352</v>
      </c>
      <c r="N114" s="5">
        <f t="shared" si="31"/>
        <v>98.333333333333329</v>
      </c>
      <c r="O114" s="71">
        <f t="shared" ref="O114:O115" si="32">GEOMEAN(E114:N114)</f>
        <v>102.77844444975955</v>
      </c>
      <c r="P114" s="72">
        <f t="shared" ref="P114:P115" si="33">O114-100</f>
        <v>2.7784444497595473</v>
      </c>
    </row>
    <row r="115" spans="1:16" x14ac:dyDescent="0.25">
      <c r="A115" s="3" t="s">
        <v>7</v>
      </c>
      <c r="B115" s="19">
        <v>3</v>
      </c>
      <c r="C115" s="7" t="s">
        <v>6</v>
      </c>
      <c r="D115" s="5" t="s">
        <v>79</v>
      </c>
      <c r="E115" s="5">
        <f t="shared" ref="E115:N115" si="34">(E7/D7)*100</f>
        <v>96.078431372549005</v>
      </c>
      <c r="F115" s="5">
        <f t="shared" si="34"/>
        <v>104.76190476190477</v>
      </c>
      <c r="G115" s="5">
        <f t="shared" si="34"/>
        <v>94.805194805194802</v>
      </c>
      <c r="H115" s="5">
        <f t="shared" si="34"/>
        <v>102.73972602739727</v>
      </c>
      <c r="I115" s="5">
        <f t="shared" si="34"/>
        <v>107.99999999999999</v>
      </c>
      <c r="J115" s="5">
        <f t="shared" si="34"/>
        <v>117.90123456790124</v>
      </c>
      <c r="K115" s="5">
        <f t="shared" si="34"/>
        <v>116.75392670157068</v>
      </c>
      <c r="L115" s="5">
        <f t="shared" si="34"/>
        <v>115.24663677130044</v>
      </c>
      <c r="M115" s="5">
        <f t="shared" si="34"/>
        <v>113.22957198443582</v>
      </c>
      <c r="N115" s="5">
        <f t="shared" si="34"/>
        <v>103.09278350515463</v>
      </c>
      <c r="O115" s="71">
        <f t="shared" si="32"/>
        <v>106.96531695553055</v>
      </c>
      <c r="P115" s="72">
        <f t="shared" si="33"/>
        <v>6.9653169555305539</v>
      </c>
    </row>
    <row r="116" spans="1:16" x14ac:dyDescent="0.25">
      <c r="A116" s="49"/>
      <c r="B116" s="5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</row>
    <row r="117" spans="1:16" x14ac:dyDescent="0.25">
      <c r="A117" s="6" t="s">
        <v>26</v>
      </c>
      <c r="B117" s="5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</row>
    <row r="118" spans="1:16" x14ac:dyDescent="0.25">
      <c r="A118" s="49"/>
      <c r="B118" s="5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</row>
    <row r="120" spans="1:16" x14ac:dyDescent="0.25">
      <c r="A120" s="9" t="s">
        <v>94</v>
      </c>
    </row>
    <row r="121" spans="1:16" x14ac:dyDescent="0.25">
      <c r="A121" s="95" t="s">
        <v>12</v>
      </c>
      <c r="B121" s="96"/>
      <c r="C121" s="1">
        <v>2008</v>
      </c>
      <c r="D121" s="2">
        <v>2009</v>
      </c>
      <c r="E121" s="1">
        <v>2010</v>
      </c>
      <c r="F121" s="2">
        <v>2011</v>
      </c>
      <c r="G121" s="1">
        <v>2012</v>
      </c>
      <c r="H121" s="2">
        <v>2013</v>
      </c>
      <c r="I121" s="1">
        <v>2014</v>
      </c>
      <c r="J121" s="2">
        <v>2015</v>
      </c>
      <c r="K121" s="1">
        <v>2016</v>
      </c>
      <c r="L121" s="2">
        <v>2017</v>
      </c>
      <c r="M121" s="1">
        <v>2018</v>
      </c>
      <c r="N121" s="1">
        <v>2019</v>
      </c>
    </row>
    <row r="122" spans="1:16" x14ac:dyDescent="0.25">
      <c r="A122" s="17" t="s">
        <v>13</v>
      </c>
      <c r="B122" s="18" t="s">
        <v>14</v>
      </c>
      <c r="C122" s="18">
        <v>1</v>
      </c>
      <c r="D122" s="15">
        <v>2</v>
      </c>
      <c r="E122" s="18">
        <v>3</v>
      </c>
      <c r="F122" s="15">
        <v>4</v>
      </c>
      <c r="G122" s="18">
        <v>5</v>
      </c>
      <c r="H122" s="15">
        <v>6</v>
      </c>
      <c r="I122" s="18">
        <v>7</v>
      </c>
      <c r="J122" s="15">
        <v>8</v>
      </c>
      <c r="K122" s="18">
        <v>9</v>
      </c>
      <c r="L122" s="15">
        <v>10</v>
      </c>
      <c r="M122" s="18">
        <v>11</v>
      </c>
      <c r="N122" s="18">
        <v>12</v>
      </c>
    </row>
    <row r="123" spans="1:16" x14ac:dyDescent="0.25">
      <c r="A123" s="4" t="s">
        <v>5</v>
      </c>
      <c r="B123" s="19">
        <v>1</v>
      </c>
      <c r="C123" s="7" t="s">
        <v>6</v>
      </c>
      <c r="D123" s="5">
        <f t="shared" ref="D123:N123" si="35">(D6/D6)*100</f>
        <v>100</v>
      </c>
      <c r="E123" s="5">
        <f t="shared" si="35"/>
        <v>100</v>
      </c>
      <c r="F123" s="5">
        <f t="shared" si="35"/>
        <v>100</v>
      </c>
      <c r="G123" s="5">
        <f t="shared" si="35"/>
        <v>100</v>
      </c>
      <c r="H123" s="5">
        <f t="shared" si="35"/>
        <v>100</v>
      </c>
      <c r="I123" s="5">
        <f t="shared" si="35"/>
        <v>100</v>
      </c>
      <c r="J123" s="5">
        <f t="shared" si="35"/>
        <v>100</v>
      </c>
      <c r="K123" s="5">
        <f t="shared" si="35"/>
        <v>100</v>
      </c>
      <c r="L123" s="5">
        <f t="shared" si="35"/>
        <v>100</v>
      </c>
      <c r="M123" s="5">
        <f t="shared" si="35"/>
        <v>100</v>
      </c>
      <c r="N123" s="5">
        <f t="shared" si="35"/>
        <v>100</v>
      </c>
    </row>
    <row r="124" spans="1:16" x14ac:dyDescent="0.25">
      <c r="A124" s="3" t="s">
        <v>7</v>
      </c>
      <c r="B124" s="19">
        <v>2</v>
      </c>
      <c r="C124" s="7" t="s">
        <v>6</v>
      </c>
      <c r="D124" s="5">
        <f t="shared" ref="D124:N124" si="36">(D7/D6)*100</f>
        <v>48.726114649681534</v>
      </c>
      <c r="E124" s="5">
        <f t="shared" si="36"/>
        <v>38.684210526315788</v>
      </c>
      <c r="F124" s="5">
        <f t="shared" si="36"/>
        <v>41.176470588235297</v>
      </c>
      <c r="G124" s="5">
        <f t="shared" si="36"/>
        <v>38.829787234042549</v>
      </c>
      <c r="H124" s="5">
        <f t="shared" si="36"/>
        <v>40.21447721179625</v>
      </c>
      <c r="I124" s="5">
        <f t="shared" si="36"/>
        <v>39.705882352941181</v>
      </c>
      <c r="J124" s="5">
        <f t="shared" si="36"/>
        <v>94.554455445544562</v>
      </c>
      <c r="K124" s="5">
        <f t="shared" si="36"/>
        <v>71.935483870967744</v>
      </c>
      <c r="L124" s="5">
        <f t="shared" si="36"/>
        <v>69.459459459459467</v>
      </c>
      <c r="M124" s="5">
        <f t="shared" si="36"/>
        <v>69.285714285714278</v>
      </c>
      <c r="N124" s="5">
        <f t="shared" si="36"/>
        <v>72.639225181598064</v>
      </c>
    </row>
    <row r="126" spans="1:16" x14ac:dyDescent="0.25">
      <c r="A126" s="6" t="s">
        <v>26</v>
      </c>
    </row>
  </sheetData>
  <mergeCells count="10">
    <mergeCell ref="A121:B121"/>
    <mergeCell ref="A3:B3"/>
    <mergeCell ref="A77:B77"/>
    <mergeCell ref="A85:B85"/>
    <mergeCell ref="A102:B102"/>
    <mergeCell ref="A111:B111"/>
    <mergeCell ref="A93:B93"/>
    <mergeCell ref="A14:B14"/>
    <mergeCell ref="A36:B36"/>
    <mergeCell ref="A57:B57"/>
  </mergeCells>
  <phoneticPr fontId="16" type="noConversion"/>
  <conditionalFormatting sqref="C5:N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N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N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1"/>
  <sheetViews>
    <sheetView topLeftCell="C34" zoomScaleNormal="100" workbookViewId="0">
      <selection activeCell="C34" sqref="C34"/>
    </sheetView>
  </sheetViews>
  <sheetFormatPr defaultColWidth="11" defaultRowHeight="15.75" x14ac:dyDescent="0.25"/>
  <cols>
    <col min="1" max="1" width="62" customWidth="1"/>
    <col min="2" max="2" width="13.5" customWidth="1"/>
    <col min="3" max="3" width="16.25" customWidth="1"/>
    <col min="4" max="14" width="13.5" customWidth="1"/>
    <col min="21" max="21" width="13.625" bestFit="1" customWidth="1"/>
    <col min="22" max="22" width="21.75" customWidth="1"/>
    <col min="23" max="23" width="15.5" customWidth="1"/>
    <col min="24" max="24" width="13.75" customWidth="1"/>
    <col min="25" max="25" width="26.75" customWidth="1"/>
    <col min="26" max="26" width="17.25" customWidth="1"/>
    <col min="27" max="27" width="20.25" customWidth="1"/>
    <col min="28" max="28" width="14.75" customWidth="1"/>
  </cols>
  <sheetData>
    <row r="1" spans="1:28" x14ac:dyDescent="0.25">
      <c r="A1" s="8" t="s">
        <v>15</v>
      </c>
    </row>
    <row r="3" spans="1:28" ht="60" x14ac:dyDescent="0.25">
      <c r="A3" s="80" t="s">
        <v>12</v>
      </c>
      <c r="B3" s="81"/>
      <c r="C3" s="2">
        <v>2008</v>
      </c>
      <c r="D3" s="2">
        <v>2009</v>
      </c>
      <c r="E3" s="2">
        <v>2010</v>
      </c>
      <c r="F3" s="2">
        <v>2011</v>
      </c>
      <c r="G3" s="2">
        <v>2012</v>
      </c>
      <c r="H3" s="2">
        <v>2013</v>
      </c>
      <c r="I3" s="2">
        <v>2014</v>
      </c>
      <c r="J3" s="2">
        <v>2015</v>
      </c>
      <c r="K3" s="2">
        <v>2016</v>
      </c>
      <c r="L3" s="2">
        <v>2017</v>
      </c>
      <c r="M3" s="2">
        <v>2018</v>
      </c>
      <c r="N3" s="2">
        <v>2019</v>
      </c>
      <c r="O3" s="2" t="s">
        <v>194</v>
      </c>
      <c r="P3" s="2" t="s">
        <v>164</v>
      </c>
      <c r="Q3" s="2" t="s">
        <v>165</v>
      </c>
      <c r="R3" s="2" t="s">
        <v>166</v>
      </c>
      <c r="S3" s="2" t="s">
        <v>116</v>
      </c>
      <c r="T3" s="2" t="s">
        <v>117</v>
      </c>
      <c r="U3" s="2" t="s">
        <v>226</v>
      </c>
      <c r="V3" s="2" t="s">
        <v>118</v>
      </c>
      <c r="W3" s="2" t="s">
        <v>167</v>
      </c>
      <c r="X3" s="2" t="s">
        <v>125</v>
      </c>
      <c r="Y3" s="2" t="s">
        <v>172</v>
      </c>
      <c r="Z3" s="2" t="s">
        <v>128</v>
      </c>
      <c r="AA3" s="2" t="s">
        <v>130</v>
      </c>
      <c r="AB3" s="2" t="s">
        <v>131</v>
      </c>
    </row>
    <row r="4" spans="1:28" x14ac:dyDescent="0.25">
      <c r="A4" s="16" t="s">
        <v>13</v>
      </c>
      <c r="B4" s="19" t="s">
        <v>14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>
        <v>10</v>
      </c>
      <c r="M4" s="19">
        <v>11</v>
      </c>
      <c r="N4" s="19">
        <v>12</v>
      </c>
      <c r="O4" s="19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23</v>
      </c>
      <c r="Y4" s="15">
        <v>24</v>
      </c>
      <c r="Z4" s="15">
        <v>25</v>
      </c>
      <c r="AA4" s="15">
        <v>26</v>
      </c>
      <c r="AB4" s="15">
        <v>27</v>
      </c>
    </row>
    <row r="5" spans="1:28" ht="34.5" x14ac:dyDescent="0.25">
      <c r="A5" s="3" t="s">
        <v>10</v>
      </c>
      <c r="B5" s="19">
        <v>1</v>
      </c>
      <c r="C5" s="5">
        <v>157.80000000000001</v>
      </c>
      <c r="D5" s="5">
        <v>158.80000000000001</v>
      </c>
      <c r="E5" s="5">
        <v>159.4</v>
      </c>
      <c r="F5" s="5">
        <v>160.4</v>
      </c>
      <c r="G5" s="5">
        <v>162.69999999999999</v>
      </c>
      <c r="H5" s="5">
        <v>166</v>
      </c>
      <c r="I5" s="5">
        <v>168.3</v>
      </c>
      <c r="J5" s="5">
        <v>170.2</v>
      </c>
      <c r="K5" s="5">
        <v>173.1</v>
      </c>
      <c r="L5" s="5">
        <v>175.3</v>
      </c>
      <c r="M5" s="5">
        <v>177.5</v>
      </c>
      <c r="N5" s="5">
        <v>180.4</v>
      </c>
      <c r="O5" s="5">
        <f>AVERAGE(C5:N5)</f>
        <v>167.49166666666665</v>
      </c>
      <c r="P5" s="5">
        <f>QUARTILE(C5:N5,4)</f>
        <v>180.4</v>
      </c>
      <c r="Q5" s="5">
        <f>QUARTILE(C5:N5, 0)</f>
        <v>157.80000000000001</v>
      </c>
      <c r="R5" s="5">
        <f>P5-Q5</f>
        <v>22.599999999999994</v>
      </c>
      <c r="S5" s="5">
        <f>QUARTILE(C5:N5,1)</f>
        <v>160.15</v>
      </c>
      <c r="T5" s="5">
        <f>QUARTILE(C5:N5, 3)</f>
        <v>173.65</v>
      </c>
      <c r="U5" s="5">
        <f>QUARTILE(C5:N5, 2)</f>
        <v>167.15</v>
      </c>
      <c r="V5" s="42" t="s">
        <v>227</v>
      </c>
      <c r="W5" s="5">
        <f>SUM(E15:E26)/COUNTA(E15:E26)</f>
        <v>6.6416666666666657</v>
      </c>
      <c r="X5" s="5">
        <f>SUM(F15:F26)/COUNTA(F15:F26)</f>
        <v>56.469097222222196</v>
      </c>
      <c r="Y5" s="5">
        <f>SQRT(X5)</f>
        <v>7.5145922858277681</v>
      </c>
      <c r="Z5" s="5">
        <f>R5/O5*100</f>
        <v>13.493208617344143</v>
      </c>
      <c r="AA5" s="5">
        <f>W5/O5*100</f>
        <v>3.9653714115130105</v>
      </c>
      <c r="AB5" s="5">
        <f>Y5/O5*100</f>
        <v>4.4865469640247388</v>
      </c>
    </row>
    <row r="6" spans="1:28" ht="19.5" x14ac:dyDescent="0.25">
      <c r="A6" s="3" t="s">
        <v>11</v>
      </c>
      <c r="B6" s="19">
        <v>2</v>
      </c>
      <c r="C6" s="5">
        <v>0.84099999999999997</v>
      </c>
      <c r="D6" s="5">
        <v>0.83699999999999997</v>
      </c>
      <c r="E6" s="5">
        <v>0.84699999999999998</v>
      </c>
      <c r="F6" s="5">
        <v>0.85299999999999998</v>
      </c>
      <c r="G6" s="5">
        <v>0.85499999999999998</v>
      </c>
      <c r="H6" s="5">
        <v>0.86799999999999999</v>
      </c>
      <c r="I6" s="5">
        <v>0.86899999999999999</v>
      </c>
      <c r="J6" s="5">
        <v>0.874</v>
      </c>
      <c r="K6" s="5">
        <v>0.875</v>
      </c>
      <c r="L6" s="5">
        <v>0.86</v>
      </c>
      <c r="M6" s="5">
        <v>0.874</v>
      </c>
      <c r="N6" s="5">
        <v>0.85899999999999999</v>
      </c>
      <c r="O6" s="5">
        <f>AVERAGE(C6:N6)</f>
        <v>0.85933333333333339</v>
      </c>
      <c r="P6" s="5">
        <f>QUARTILE(D6:N6,4)</f>
        <v>0.875</v>
      </c>
      <c r="Q6" s="5">
        <f>QUARTILE(D6:N6, 0)</f>
        <v>0.83699999999999997</v>
      </c>
      <c r="R6" s="5">
        <f>P6-Q6</f>
        <v>3.8000000000000034E-2</v>
      </c>
      <c r="S6" s="5">
        <f>QUARTILE(D6:N6,1)</f>
        <v>0.85399999999999998</v>
      </c>
      <c r="T6" s="5">
        <f>QUARTILE(D6:N6, 3)</f>
        <v>0.87149999999999994</v>
      </c>
      <c r="U6" s="5">
        <f>QUARTILE(D6:N6, 2)</f>
        <v>0.86</v>
      </c>
      <c r="V6" s="42" t="s">
        <v>228</v>
      </c>
      <c r="W6" s="5">
        <f>SUM(E36:E47)/COUNTA(E36:E47)</f>
        <v>1.0666666666666677E-2</v>
      </c>
      <c r="X6" s="5">
        <f>SUM(F36:F47)/COUNTA(F36:F47)</f>
        <v>1.5755555555555583E-4</v>
      </c>
      <c r="Y6" s="5">
        <f>SQRT(X6)</f>
        <v>1.2552113589175164E-2</v>
      </c>
      <c r="Z6" s="5">
        <f>R6/O6*100</f>
        <v>4.4220325833979865</v>
      </c>
      <c r="AA6" s="5">
        <f t="shared" ref="AA6" si="0">W6/O6*100</f>
        <v>1.2412723041117155</v>
      </c>
      <c r="AB6" s="5">
        <f t="shared" ref="AB6" si="1">Y6/O6*100</f>
        <v>1.4606804021538202</v>
      </c>
    </row>
    <row r="8" spans="1:28" x14ac:dyDescent="0.25">
      <c r="A8" s="6" t="s">
        <v>8</v>
      </c>
    </row>
    <row r="9" spans="1:28" x14ac:dyDescent="0.25">
      <c r="A9" s="6"/>
    </row>
    <row r="10" spans="1:28" x14ac:dyDescent="0.25">
      <c r="A10" s="6"/>
    </row>
    <row r="11" spans="1:28" x14ac:dyDescent="0.25">
      <c r="A11" s="62" t="s">
        <v>195</v>
      </c>
    </row>
    <row r="12" spans="1:28" x14ac:dyDescent="0.25">
      <c r="A12" s="6"/>
    </row>
    <row r="13" spans="1:28" ht="45" x14ac:dyDescent="0.25">
      <c r="A13" s="83" t="s">
        <v>191</v>
      </c>
      <c r="B13" s="84"/>
      <c r="C13" s="2" t="s">
        <v>196</v>
      </c>
      <c r="D13" s="2" t="s">
        <v>119</v>
      </c>
      <c r="E13" s="2" t="s">
        <v>120</v>
      </c>
      <c r="F13" s="2" t="s">
        <v>124</v>
      </c>
      <c r="G13" s="2" t="s">
        <v>168</v>
      </c>
      <c r="H13" s="2" t="s">
        <v>169</v>
      </c>
      <c r="I13" s="2" t="s">
        <v>170</v>
      </c>
      <c r="J13" s="2" t="s">
        <v>171</v>
      </c>
    </row>
    <row r="14" spans="1:28" x14ac:dyDescent="0.25">
      <c r="A14" s="16" t="s">
        <v>13</v>
      </c>
      <c r="B14" s="15" t="s">
        <v>14</v>
      </c>
      <c r="C14" s="16" t="s">
        <v>143</v>
      </c>
      <c r="D14" s="16">
        <v>1</v>
      </c>
      <c r="E14" s="16">
        <v>2</v>
      </c>
      <c r="F14" s="16">
        <v>3</v>
      </c>
      <c r="G14" s="16">
        <v>4</v>
      </c>
      <c r="H14" s="16">
        <v>5</v>
      </c>
      <c r="I14" s="16">
        <v>6</v>
      </c>
      <c r="J14" s="16">
        <v>7</v>
      </c>
    </row>
    <row r="15" spans="1:28" x14ac:dyDescent="0.25">
      <c r="A15" s="54">
        <v>2008</v>
      </c>
      <c r="B15" s="16">
        <v>1</v>
      </c>
      <c r="C15" s="5">
        <f t="array" ref="C15:C26">TRANSPOSE(C5:N5)</f>
        <v>157.80000000000001</v>
      </c>
      <c r="D15" s="5">
        <f>C15-$C$27</f>
        <v>-9.6916666666666345</v>
      </c>
      <c r="E15" s="5">
        <f>ABS(D15)</f>
        <v>9.6916666666666345</v>
      </c>
      <c r="F15" s="5">
        <f>POWER(E15, 2)</f>
        <v>93.928402777777151</v>
      </c>
      <c r="G15" s="5" t="s">
        <v>79</v>
      </c>
      <c r="H15" s="5" t="s">
        <v>79</v>
      </c>
      <c r="I15" s="5" t="s">
        <v>79</v>
      </c>
      <c r="J15" s="5" t="s">
        <v>79</v>
      </c>
    </row>
    <row r="16" spans="1:28" x14ac:dyDescent="0.25">
      <c r="A16" s="54">
        <v>2009</v>
      </c>
      <c r="B16" s="16">
        <v>2</v>
      </c>
      <c r="C16" s="5">
        <v>158.80000000000001</v>
      </c>
      <c r="D16" s="5">
        <f t="shared" ref="D16:D26" si="2">C16-$C$27</f>
        <v>-8.6916666666666345</v>
      </c>
      <c r="E16" s="5">
        <f t="shared" ref="E16:E26" si="3">ABS(D16)</f>
        <v>8.6916666666666345</v>
      </c>
      <c r="F16" s="5">
        <f t="shared" ref="F16:F26" si="4">POWER(E16, 2)</f>
        <v>75.545069444443882</v>
      </c>
      <c r="G16" s="5">
        <f>C16/C15*100</f>
        <v>100.63371356147022</v>
      </c>
      <c r="H16" s="5">
        <f>G16-$G$27</f>
        <v>-0.5905214011399238</v>
      </c>
      <c r="I16" s="5">
        <f>ABS(H16:H26)</f>
        <v>0.5905214011399238</v>
      </c>
      <c r="J16" s="5">
        <f>POWER(I16, 2)</f>
        <v>0.3487155252042588</v>
      </c>
    </row>
    <row r="17" spans="1:10" x14ac:dyDescent="0.25">
      <c r="A17" s="54">
        <v>2010</v>
      </c>
      <c r="B17" s="16">
        <v>3</v>
      </c>
      <c r="C17" s="5">
        <v>159.4</v>
      </c>
      <c r="D17" s="5">
        <f t="shared" si="2"/>
        <v>-8.0916666666666401</v>
      </c>
      <c r="E17" s="5">
        <f t="shared" si="3"/>
        <v>8.0916666666666401</v>
      </c>
      <c r="F17" s="5">
        <f t="shared" si="4"/>
        <v>65.475069444444017</v>
      </c>
      <c r="G17" s="5">
        <f t="shared" ref="G17:G26" si="5">C17/C16*100</f>
        <v>100.37783375314862</v>
      </c>
      <c r="H17" s="5">
        <f t="shared" ref="H17:H26" si="6">G17-$G$27</f>
        <v>-0.84640120946151853</v>
      </c>
      <c r="I17" s="5">
        <f>ABS(H17:H27)</f>
        <v>0.84640120946151853</v>
      </c>
      <c r="J17" s="5">
        <f t="shared" ref="J17:J26" si="7">POWER(I17, 2)</f>
        <v>0.71639500737792139</v>
      </c>
    </row>
    <row r="18" spans="1:10" x14ac:dyDescent="0.25">
      <c r="A18" s="54">
        <v>2011</v>
      </c>
      <c r="B18" s="16">
        <v>4</v>
      </c>
      <c r="C18" s="5">
        <v>160.4</v>
      </c>
      <c r="D18" s="5">
        <f t="shared" si="2"/>
        <v>-7.0916666666666401</v>
      </c>
      <c r="E18" s="5">
        <f t="shared" si="3"/>
        <v>7.0916666666666401</v>
      </c>
      <c r="F18" s="5">
        <f t="shared" si="4"/>
        <v>50.291736111110737</v>
      </c>
      <c r="G18" s="5">
        <f t="shared" si="5"/>
        <v>100.62735257214554</v>
      </c>
      <c r="H18" s="5">
        <f>G18-$G$27</f>
        <v>-0.59688239046460012</v>
      </c>
      <c r="I18" s="5">
        <f t="shared" ref="I18:I26" si="8">ABS(H18:H28)</f>
        <v>0.59688239046460012</v>
      </c>
      <c r="J18" s="5">
        <f>POWER(I18, 2)</f>
        <v>0.35626858804673533</v>
      </c>
    </row>
    <row r="19" spans="1:10" x14ac:dyDescent="0.25">
      <c r="A19" s="54">
        <v>2012</v>
      </c>
      <c r="B19" s="16">
        <v>5</v>
      </c>
      <c r="C19" s="5">
        <v>162.69999999999999</v>
      </c>
      <c r="D19" s="5">
        <f t="shared" si="2"/>
        <v>-4.7916666666666572</v>
      </c>
      <c r="E19" s="5">
        <f t="shared" si="3"/>
        <v>4.7916666666666572</v>
      </c>
      <c r="F19" s="5">
        <f t="shared" si="4"/>
        <v>22.960069444444354</v>
      </c>
      <c r="G19" s="5">
        <f t="shared" si="5"/>
        <v>101.43391521197007</v>
      </c>
      <c r="H19" s="5">
        <f t="shared" si="6"/>
        <v>0.20968024935993412</v>
      </c>
      <c r="I19" s="5">
        <f t="shared" si="8"/>
        <v>0.20968024935993412</v>
      </c>
      <c r="J19" s="5">
        <f t="shared" si="7"/>
        <v>4.3965806971644157E-2</v>
      </c>
    </row>
    <row r="20" spans="1:10" x14ac:dyDescent="0.25">
      <c r="A20" s="54">
        <v>2013</v>
      </c>
      <c r="B20" s="16">
        <v>6</v>
      </c>
      <c r="C20" s="5">
        <v>166</v>
      </c>
      <c r="D20" s="5">
        <f t="shared" si="2"/>
        <v>-1.4916666666666458</v>
      </c>
      <c r="E20" s="5">
        <f t="shared" si="3"/>
        <v>1.4916666666666458</v>
      </c>
      <c r="F20" s="5">
        <f t="shared" si="4"/>
        <v>2.2250694444443821</v>
      </c>
      <c r="G20" s="5">
        <f t="shared" si="5"/>
        <v>102.02827289489859</v>
      </c>
      <c r="H20" s="5">
        <f t="shared" si="6"/>
        <v>0.80403793228845188</v>
      </c>
      <c r="I20" s="5">
        <f t="shared" si="8"/>
        <v>0.80403793228845188</v>
      </c>
      <c r="J20" s="5">
        <f t="shared" si="7"/>
        <v>0.64647699655868918</v>
      </c>
    </row>
    <row r="21" spans="1:10" x14ac:dyDescent="0.25">
      <c r="A21" s="54">
        <v>2014</v>
      </c>
      <c r="B21" s="16">
        <v>7</v>
      </c>
      <c r="C21" s="5">
        <v>168.3</v>
      </c>
      <c r="D21" s="5">
        <f t="shared" si="2"/>
        <v>0.80833333333336554</v>
      </c>
      <c r="E21" s="5">
        <f t="shared" si="3"/>
        <v>0.80833333333336554</v>
      </c>
      <c r="F21" s="5">
        <f t="shared" si="4"/>
        <v>0.65340277777782985</v>
      </c>
      <c r="G21" s="5">
        <f>C21/C20*100</f>
        <v>101.3855421686747</v>
      </c>
      <c r="H21" s="5">
        <f t="shared" si="6"/>
        <v>0.1613072060645635</v>
      </c>
      <c r="I21" s="5">
        <f t="shared" si="8"/>
        <v>0.1613072060645635</v>
      </c>
      <c r="J21" s="5">
        <f t="shared" si="7"/>
        <v>2.6020014728355551E-2</v>
      </c>
    </row>
    <row r="22" spans="1:10" x14ac:dyDescent="0.25">
      <c r="A22" s="54">
        <v>2015</v>
      </c>
      <c r="B22" s="16">
        <v>8</v>
      </c>
      <c r="C22" s="5">
        <v>170.2</v>
      </c>
      <c r="D22" s="5">
        <f t="shared" si="2"/>
        <v>2.7083333333333428</v>
      </c>
      <c r="E22" s="5">
        <f t="shared" si="3"/>
        <v>2.7083333333333428</v>
      </c>
      <c r="F22" s="5">
        <f t="shared" si="4"/>
        <v>7.3350694444444962</v>
      </c>
      <c r="G22" s="5">
        <f t="shared" si="5"/>
        <v>101.12893642305406</v>
      </c>
      <c r="H22" s="5">
        <f t="shared" si="6"/>
        <v>-9.5298539556083028E-2</v>
      </c>
      <c r="I22" s="5">
        <f t="shared" si="8"/>
        <v>9.5298539556083028E-2</v>
      </c>
      <c r="J22" s="5">
        <f t="shared" si="7"/>
        <v>9.0818116415223218E-3</v>
      </c>
    </row>
    <row r="23" spans="1:10" x14ac:dyDescent="0.25">
      <c r="A23" s="54">
        <v>2016</v>
      </c>
      <c r="B23" s="16">
        <v>9</v>
      </c>
      <c r="C23" s="5">
        <v>173.1</v>
      </c>
      <c r="D23" s="5">
        <f t="shared" si="2"/>
        <v>5.6083333333333485</v>
      </c>
      <c r="E23" s="5">
        <f t="shared" si="3"/>
        <v>5.6083333333333485</v>
      </c>
      <c r="F23" s="5">
        <f t="shared" si="4"/>
        <v>31.453402777777949</v>
      </c>
      <c r="G23" s="5">
        <f t="shared" si="5"/>
        <v>101.70387779083431</v>
      </c>
      <c r="H23" s="5">
        <f t="shared" si="6"/>
        <v>0.47964282822417204</v>
      </c>
      <c r="I23" s="5">
        <f t="shared" si="8"/>
        <v>0.47964282822417204</v>
      </c>
      <c r="J23" s="5">
        <f t="shared" si="7"/>
        <v>0.2300572426668826</v>
      </c>
    </row>
    <row r="24" spans="1:10" x14ac:dyDescent="0.25">
      <c r="A24" s="54">
        <v>2017</v>
      </c>
      <c r="B24" s="16">
        <v>10</v>
      </c>
      <c r="C24" s="5">
        <v>175.3</v>
      </c>
      <c r="D24" s="5">
        <f t="shared" si="2"/>
        <v>7.8083333333333655</v>
      </c>
      <c r="E24" s="5">
        <f t="shared" si="3"/>
        <v>7.8083333333333655</v>
      </c>
      <c r="F24" s="5">
        <f t="shared" si="4"/>
        <v>60.970069444444945</v>
      </c>
      <c r="G24" s="5">
        <f t="shared" si="5"/>
        <v>101.27094165222417</v>
      </c>
      <c r="H24" s="5">
        <f t="shared" si="6"/>
        <v>4.6706689614026686E-2</v>
      </c>
      <c r="I24" s="5">
        <f t="shared" si="8"/>
        <v>4.6706689614026686E-2</v>
      </c>
      <c r="J24" s="5">
        <f t="shared" si="7"/>
        <v>2.1815148547010281E-3</v>
      </c>
    </row>
    <row r="25" spans="1:10" x14ac:dyDescent="0.25">
      <c r="A25" s="54">
        <v>2018</v>
      </c>
      <c r="B25" s="16">
        <v>11</v>
      </c>
      <c r="C25" s="5">
        <v>177.5</v>
      </c>
      <c r="D25" s="5">
        <f t="shared" si="2"/>
        <v>10.008333333333354</v>
      </c>
      <c r="E25" s="5">
        <f t="shared" si="3"/>
        <v>10.008333333333354</v>
      </c>
      <c r="F25" s="5">
        <f t="shared" si="4"/>
        <v>100.16673611111153</v>
      </c>
      <c r="G25" s="5">
        <f t="shared" si="5"/>
        <v>101.25499144324014</v>
      </c>
      <c r="H25" s="5">
        <f t="shared" si="6"/>
        <v>3.075648063000358E-2</v>
      </c>
      <c r="I25" s="5">
        <f t="shared" si="8"/>
        <v>3.075648063000358E-2</v>
      </c>
      <c r="J25" s="5">
        <f t="shared" si="7"/>
        <v>9.4596110074378543E-4</v>
      </c>
    </row>
    <row r="26" spans="1:10" x14ac:dyDescent="0.25">
      <c r="A26" s="54">
        <v>2019</v>
      </c>
      <c r="B26" s="16">
        <v>12</v>
      </c>
      <c r="C26" s="5">
        <v>180.4</v>
      </c>
      <c r="D26" s="5">
        <f t="shared" si="2"/>
        <v>12.90833333333336</v>
      </c>
      <c r="E26" s="5">
        <f t="shared" si="3"/>
        <v>12.90833333333336</v>
      </c>
      <c r="F26" s="5">
        <f t="shared" si="4"/>
        <v>166.62506944444513</v>
      </c>
      <c r="G26" s="5">
        <f t="shared" si="5"/>
        <v>101.63380281690142</v>
      </c>
      <c r="H26" s="5">
        <f t="shared" si="6"/>
        <v>0.40956785429128217</v>
      </c>
      <c r="I26" s="5">
        <f t="shared" si="8"/>
        <v>0.40956785429128217</v>
      </c>
      <c r="J26" s="5">
        <f t="shared" si="7"/>
        <v>0.16774582726876494</v>
      </c>
    </row>
    <row r="27" spans="1:10" x14ac:dyDescent="0.25">
      <c r="A27" s="54" t="s">
        <v>126</v>
      </c>
      <c r="B27" s="16">
        <v>13</v>
      </c>
      <c r="C27" s="5">
        <f>AVERAGE(C15:C26)</f>
        <v>167.49166666666665</v>
      </c>
      <c r="D27" s="5" t="s">
        <v>79</v>
      </c>
      <c r="E27" s="5" t="s">
        <v>79</v>
      </c>
      <c r="F27" s="5" t="s">
        <v>79</v>
      </c>
      <c r="G27" s="5">
        <f>POWER(PRODUCT(G16:G26), 1/COUNTA(G16:G26))</f>
        <v>101.22423496261014</v>
      </c>
      <c r="H27" s="5" t="s">
        <v>79</v>
      </c>
      <c r="I27" s="5" t="s">
        <v>79</v>
      </c>
      <c r="J27" s="5" t="s">
        <v>79</v>
      </c>
    </row>
    <row r="28" spans="1:10" x14ac:dyDescent="0.25">
      <c r="A28" s="6"/>
    </row>
    <row r="29" spans="1:10" x14ac:dyDescent="0.25">
      <c r="A29" s="6" t="s">
        <v>183</v>
      </c>
    </row>
    <row r="30" spans="1:10" x14ac:dyDescent="0.25">
      <c r="A30" s="6"/>
    </row>
    <row r="31" spans="1:10" x14ac:dyDescent="0.25">
      <c r="A31" s="6"/>
      <c r="J31" s="43"/>
    </row>
    <row r="32" spans="1:10" x14ac:dyDescent="0.25">
      <c r="A32" s="62" t="s">
        <v>197</v>
      </c>
    </row>
    <row r="33" spans="1:10" x14ac:dyDescent="0.25">
      <c r="A33" s="6"/>
    </row>
    <row r="34" spans="1:10" ht="45" x14ac:dyDescent="0.25">
      <c r="A34" s="83" t="s">
        <v>191</v>
      </c>
      <c r="B34" s="84"/>
      <c r="C34" s="2" t="s">
        <v>196</v>
      </c>
      <c r="D34" s="2" t="s">
        <v>119</v>
      </c>
      <c r="E34" s="2" t="s">
        <v>120</v>
      </c>
      <c r="F34" s="2" t="s">
        <v>124</v>
      </c>
      <c r="G34" s="2" t="s">
        <v>168</v>
      </c>
      <c r="H34" s="2" t="s">
        <v>169</v>
      </c>
      <c r="I34" s="2" t="s">
        <v>170</v>
      </c>
      <c r="J34" s="2" t="s">
        <v>171</v>
      </c>
    </row>
    <row r="35" spans="1:10" x14ac:dyDescent="0.25">
      <c r="A35" s="16" t="s">
        <v>13</v>
      </c>
      <c r="B35" s="15" t="s">
        <v>14</v>
      </c>
      <c r="C35" s="16" t="s">
        <v>143</v>
      </c>
      <c r="D35" s="16">
        <v>1</v>
      </c>
      <c r="E35" s="16">
        <v>2</v>
      </c>
      <c r="F35" s="16">
        <v>3</v>
      </c>
      <c r="G35" s="16">
        <v>4</v>
      </c>
      <c r="H35" s="16">
        <v>5</v>
      </c>
      <c r="I35" s="16">
        <v>6</v>
      </c>
      <c r="J35" s="16">
        <v>7</v>
      </c>
    </row>
    <row r="36" spans="1:10" x14ac:dyDescent="0.25">
      <c r="A36" s="54">
        <v>2008</v>
      </c>
      <c r="B36" s="16">
        <v>1</v>
      </c>
      <c r="C36" s="5">
        <f t="array" ref="C36:C47">TRANSPOSE(C6:N6)</f>
        <v>0.84099999999999997</v>
      </c>
      <c r="D36" s="5">
        <f>C36-$C$48</f>
        <v>-1.8333333333333424E-2</v>
      </c>
      <c r="E36" s="5">
        <f>ABS(D36)</f>
        <v>1.8333333333333424E-2</v>
      </c>
      <c r="F36" s="5">
        <f>POWER(E36, 2)</f>
        <v>3.3611111111111444E-4</v>
      </c>
      <c r="G36" s="5" t="s">
        <v>79</v>
      </c>
      <c r="H36" s="5" t="s">
        <v>79</v>
      </c>
      <c r="I36" s="5" t="s">
        <v>79</v>
      </c>
      <c r="J36" s="5" t="s">
        <v>79</v>
      </c>
    </row>
    <row r="37" spans="1:10" x14ac:dyDescent="0.25">
      <c r="A37" s="54">
        <v>2009</v>
      </c>
      <c r="B37" s="16">
        <v>2</v>
      </c>
      <c r="C37" s="5">
        <v>0.83699999999999997</v>
      </c>
      <c r="D37" s="5">
        <f t="shared" ref="D37:D47" si="9">C37-$C$48</f>
        <v>-2.2333333333333427E-2</v>
      </c>
      <c r="E37" s="5">
        <f t="shared" ref="E37:E47" si="10">ABS(D37)</f>
        <v>2.2333333333333427E-2</v>
      </c>
      <c r="F37" s="5">
        <f t="shared" ref="F37:F47" si="11">POWER(E37, 2)</f>
        <v>4.9877777777778201E-4</v>
      </c>
      <c r="G37" s="5">
        <f>C37/C36*100</f>
        <v>99.524375743162892</v>
      </c>
      <c r="H37" s="5">
        <f>G37-$G$48</f>
        <v>-0.66833026039778076</v>
      </c>
      <c r="I37" s="5">
        <f>ABS(H37:H47)</f>
        <v>0.66833026039778076</v>
      </c>
      <c r="J37" s="5">
        <f>POWER(I37, 2)</f>
        <v>0.44666533696336547</v>
      </c>
    </row>
    <row r="38" spans="1:10" x14ac:dyDescent="0.25">
      <c r="A38" s="54">
        <v>2010</v>
      </c>
      <c r="B38" s="16">
        <v>3</v>
      </c>
      <c r="C38" s="5">
        <v>0.84699999999999998</v>
      </c>
      <c r="D38" s="5">
        <f t="shared" si="9"/>
        <v>-1.2333333333333418E-2</v>
      </c>
      <c r="E38" s="5">
        <f t="shared" si="10"/>
        <v>1.2333333333333418E-2</v>
      </c>
      <c r="F38" s="5">
        <f t="shared" si="11"/>
        <v>1.521111111111132E-4</v>
      </c>
      <c r="G38" s="5">
        <f t="shared" ref="G38:G47" si="12">C38/C37*100</f>
        <v>101.19474313022701</v>
      </c>
      <c r="H38" s="5">
        <f t="shared" ref="H38:H46" si="13">G38-$G$48</f>
        <v>1.0020371266663375</v>
      </c>
      <c r="I38" s="5">
        <f t="shared" ref="I38:I47" si="14">ABS(H38:H48)</f>
        <v>1.0020371266663375</v>
      </c>
      <c r="J38" s="5">
        <f t="shared" ref="J38:J47" si="15">POWER(I38, 2)</f>
        <v>1.0040784032177297</v>
      </c>
    </row>
    <row r="39" spans="1:10" x14ac:dyDescent="0.25">
      <c r="A39" s="54">
        <v>2011</v>
      </c>
      <c r="B39" s="16">
        <v>4</v>
      </c>
      <c r="C39" s="5">
        <v>0.85299999999999998</v>
      </c>
      <c r="D39" s="5">
        <f t="shared" si="9"/>
        <v>-6.333333333333413E-3</v>
      </c>
      <c r="E39" s="5">
        <f t="shared" si="10"/>
        <v>6.333333333333413E-3</v>
      </c>
      <c r="F39" s="5">
        <f t="shared" si="11"/>
        <v>4.0111111111112121E-5</v>
      </c>
      <c r="G39" s="5">
        <f>C39/C38*100</f>
        <v>100.70838252656435</v>
      </c>
      <c r="H39" s="5">
        <f t="shared" si="13"/>
        <v>0.51567652300367683</v>
      </c>
      <c r="I39" s="5">
        <f t="shared" si="14"/>
        <v>0.51567652300367683</v>
      </c>
      <c r="J39" s="5">
        <f t="shared" si="15"/>
        <v>0.26592227637716165</v>
      </c>
    </row>
    <row r="40" spans="1:10" x14ac:dyDescent="0.25">
      <c r="A40" s="54">
        <v>2012</v>
      </c>
      <c r="B40" s="16">
        <v>5</v>
      </c>
      <c r="C40" s="5">
        <v>0.85499999999999998</v>
      </c>
      <c r="D40" s="5">
        <f t="shared" si="9"/>
        <v>-4.3333333333334112E-3</v>
      </c>
      <c r="E40" s="5">
        <f t="shared" si="10"/>
        <v>4.3333333333334112E-3</v>
      </c>
      <c r="F40" s="5">
        <f t="shared" si="11"/>
        <v>1.8777777777778451E-5</v>
      </c>
      <c r="G40" s="5">
        <f t="shared" si="12"/>
        <v>100.23446658851114</v>
      </c>
      <c r="H40" s="5">
        <f t="shared" si="13"/>
        <v>4.176058495046675E-2</v>
      </c>
      <c r="I40" s="5">
        <f t="shared" si="14"/>
        <v>4.176058495046675E-2</v>
      </c>
      <c r="J40" s="5">
        <f t="shared" si="15"/>
        <v>1.7439464554051501E-3</v>
      </c>
    </row>
    <row r="41" spans="1:10" x14ac:dyDescent="0.25">
      <c r="A41" s="54">
        <v>2013</v>
      </c>
      <c r="B41" s="16">
        <v>6</v>
      </c>
      <c r="C41" s="5">
        <v>0.86799999999999999</v>
      </c>
      <c r="D41" s="5">
        <f t="shared" si="9"/>
        <v>8.6666666666666003E-3</v>
      </c>
      <c r="E41" s="5">
        <f t="shared" si="10"/>
        <v>8.6666666666666003E-3</v>
      </c>
      <c r="F41" s="5">
        <f t="shared" si="11"/>
        <v>7.5111111111109957E-5</v>
      </c>
      <c r="G41" s="5">
        <f t="shared" si="12"/>
        <v>101.52046783625732</v>
      </c>
      <c r="H41" s="5">
        <f t="shared" si="13"/>
        <v>1.3277618326966518</v>
      </c>
      <c r="I41" s="5">
        <f t="shared" si="14"/>
        <v>1.3277618326966518</v>
      </c>
      <c r="J41" s="5">
        <f t="shared" si="15"/>
        <v>1.7629514843659717</v>
      </c>
    </row>
    <row r="42" spans="1:10" x14ac:dyDescent="0.25">
      <c r="A42" s="54">
        <v>2014</v>
      </c>
      <c r="B42" s="16">
        <v>7</v>
      </c>
      <c r="C42" s="5">
        <v>0.86899999999999999</v>
      </c>
      <c r="D42" s="5">
        <f t="shared" si="9"/>
        <v>9.6666666666666012E-3</v>
      </c>
      <c r="E42" s="5">
        <f t="shared" si="10"/>
        <v>9.6666666666666012E-3</v>
      </c>
      <c r="F42" s="5">
        <f t="shared" si="11"/>
        <v>9.3444444444443185E-5</v>
      </c>
      <c r="G42" s="5">
        <f t="shared" si="12"/>
        <v>100.11520737327189</v>
      </c>
      <c r="H42" s="5">
        <f t="shared" si="13"/>
        <v>-7.7498630288786785E-2</v>
      </c>
      <c r="I42" s="5">
        <f t="shared" si="14"/>
        <v>7.7498630288786785E-2</v>
      </c>
      <c r="J42" s="5">
        <f t="shared" si="15"/>
        <v>6.0060376966380603E-3</v>
      </c>
    </row>
    <row r="43" spans="1:10" x14ac:dyDescent="0.25">
      <c r="A43" s="54">
        <v>2015</v>
      </c>
      <c r="B43" s="16">
        <v>8</v>
      </c>
      <c r="C43" s="5">
        <v>0.874</v>
      </c>
      <c r="D43" s="5">
        <f t="shared" si="9"/>
        <v>1.4666666666666606E-2</v>
      </c>
      <c r="E43" s="5">
        <f t="shared" si="10"/>
        <v>1.4666666666666606E-2</v>
      </c>
      <c r="F43" s="5">
        <f t="shared" si="11"/>
        <v>2.1511111111110933E-4</v>
      </c>
      <c r="G43" s="5">
        <f t="shared" si="12"/>
        <v>100.57537399309551</v>
      </c>
      <c r="H43" s="5">
        <f t="shared" si="13"/>
        <v>0.38266798953483772</v>
      </c>
      <c r="I43" s="5">
        <f t="shared" si="14"/>
        <v>0.38266798953483772</v>
      </c>
      <c r="J43" s="5">
        <f t="shared" si="15"/>
        <v>0.14643479021463468</v>
      </c>
    </row>
    <row r="44" spans="1:10" x14ac:dyDescent="0.25">
      <c r="A44" s="54">
        <v>2016</v>
      </c>
      <c r="B44" s="16">
        <v>9</v>
      </c>
      <c r="C44" s="5">
        <v>0.875</v>
      </c>
      <c r="D44" s="5">
        <f t="shared" si="9"/>
        <v>1.5666666666666607E-2</v>
      </c>
      <c r="E44" s="5">
        <f t="shared" si="10"/>
        <v>1.5666666666666607E-2</v>
      </c>
      <c r="F44" s="5">
        <f t="shared" si="11"/>
        <v>2.4544444444444256E-4</v>
      </c>
      <c r="G44" s="5">
        <f t="shared" si="12"/>
        <v>100.11441647597255</v>
      </c>
      <c r="H44" s="5">
        <f t="shared" si="13"/>
        <v>-7.8289527588125907E-2</v>
      </c>
      <c r="I44" s="5">
        <f t="shared" si="14"/>
        <v>7.8289527588125907E-2</v>
      </c>
      <c r="J44" s="5">
        <f t="shared" si="15"/>
        <v>6.1292501299719275E-3</v>
      </c>
    </row>
    <row r="45" spans="1:10" x14ac:dyDescent="0.25">
      <c r="A45" s="54">
        <v>2017</v>
      </c>
      <c r="B45" s="16">
        <v>10</v>
      </c>
      <c r="C45" s="5">
        <v>0.86</v>
      </c>
      <c r="D45" s="5">
        <f t="shared" si="9"/>
        <v>6.6666666666659324E-4</v>
      </c>
      <c r="E45" s="5">
        <f t="shared" si="10"/>
        <v>6.6666666666659324E-4</v>
      </c>
      <c r="F45" s="5">
        <f t="shared" si="11"/>
        <v>4.4444444444434655E-7</v>
      </c>
      <c r="G45" s="5">
        <f t="shared" si="12"/>
        <v>98.285714285714292</v>
      </c>
      <c r="H45" s="5">
        <f t="shared" si="13"/>
        <v>-1.9069917178463811</v>
      </c>
      <c r="I45" s="5">
        <f t="shared" si="14"/>
        <v>1.9069917178463811</v>
      </c>
      <c r="J45" s="5">
        <f t="shared" si="15"/>
        <v>3.6366174119346915</v>
      </c>
    </row>
    <row r="46" spans="1:10" x14ac:dyDescent="0.25">
      <c r="A46" s="54">
        <v>2018</v>
      </c>
      <c r="B46" s="16">
        <v>11</v>
      </c>
      <c r="C46" s="5">
        <v>0.874</v>
      </c>
      <c r="D46" s="5">
        <f t="shared" si="9"/>
        <v>1.4666666666666606E-2</v>
      </c>
      <c r="E46" s="5">
        <f t="shared" si="10"/>
        <v>1.4666666666666606E-2</v>
      </c>
      <c r="F46" s="5">
        <f t="shared" si="11"/>
        <v>2.1511111111110933E-4</v>
      </c>
      <c r="G46" s="5">
        <f t="shared" si="12"/>
        <v>101.6279069767442</v>
      </c>
      <c r="H46" s="5">
        <f t="shared" si="13"/>
        <v>1.4352009731835267</v>
      </c>
      <c r="I46" s="5">
        <f t="shared" si="14"/>
        <v>1.4352009731835267</v>
      </c>
      <c r="J46" s="5">
        <f t="shared" si="15"/>
        <v>2.0598018334269419</v>
      </c>
    </row>
    <row r="47" spans="1:10" x14ac:dyDescent="0.25">
      <c r="A47" s="54">
        <v>2019</v>
      </c>
      <c r="B47" s="16">
        <v>12</v>
      </c>
      <c r="C47" s="5">
        <v>0.85899999999999999</v>
      </c>
      <c r="D47" s="5">
        <f t="shared" si="9"/>
        <v>-3.3333333333340764E-4</v>
      </c>
      <c r="E47" s="5">
        <f t="shared" si="10"/>
        <v>3.3333333333340764E-4</v>
      </c>
      <c r="F47" s="5">
        <f t="shared" si="11"/>
        <v>1.1111111111116065E-7</v>
      </c>
      <c r="G47" s="5">
        <f t="shared" si="12"/>
        <v>98.283752860411894</v>
      </c>
      <c r="H47" s="5">
        <f>G47-$G$48</f>
        <v>-1.9089531431487785</v>
      </c>
      <c r="I47" s="5">
        <f t="shared" si="14"/>
        <v>1.9089531431487785</v>
      </c>
      <c r="J47" s="5">
        <f t="shared" si="15"/>
        <v>3.6441021027376008</v>
      </c>
    </row>
    <row r="48" spans="1:10" x14ac:dyDescent="0.25">
      <c r="A48" s="54" t="s">
        <v>126</v>
      </c>
      <c r="B48" s="16">
        <v>13</v>
      </c>
      <c r="C48" s="5">
        <f>AVERAGE(C36:C47)</f>
        <v>0.85933333333333339</v>
      </c>
      <c r="D48" s="5" t="s">
        <v>79</v>
      </c>
      <c r="E48" s="5" t="s">
        <v>79</v>
      </c>
      <c r="F48" s="5" t="s">
        <v>79</v>
      </c>
      <c r="G48" s="5">
        <f>POWER(PRODUCT(G37:G47), 1/COUNTA(G37:G47))</f>
        <v>100.19270600356067</v>
      </c>
      <c r="H48" s="5" t="s">
        <v>79</v>
      </c>
      <c r="I48" s="5" t="s">
        <v>79</v>
      </c>
      <c r="J48" s="5" t="s">
        <v>79</v>
      </c>
    </row>
    <row r="50" spans="1:28" x14ac:dyDescent="0.25">
      <c r="A50" s="48" t="s">
        <v>98</v>
      </c>
    </row>
    <row r="51" spans="1:28" ht="75" x14ac:dyDescent="0.25">
      <c r="A51" s="80" t="s">
        <v>12</v>
      </c>
      <c r="B51" s="81"/>
      <c r="C51" s="2">
        <v>2008</v>
      </c>
      <c r="D51" s="2">
        <v>2009</v>
      </c>
      <c r="E51" s="2">
        <v>2010</v>
      </c>
      <c r="F51" s="2">
        <v>2011</v>
      </c>
      <c r="G51" s="2">
        <v>2012</v>
      </c>
      <c r="H51" s="2">
        <v>2013</v>
      </c>
      <c r="I51" s="2">
        <v>2014</v>
      </c>
      <c r="J51" s="2">
        <v>2015</v>
      </c>
      <c r="K51" s="2">
        <v>2016</v>
      </c>
      <c r="L51" s="2">
        <v>2017</v>
      </c>
      <c r="M51" s="2">
        <v>2018</v>
      </c>
      <c r="N51" s="2">
        <v>2019</v>
      </c>
      <c r="O51" s="2" t="s">
        <v>193</v>
      </c>
      <c r="P51" s="2" t="s">
        <v>164</v>
      </c>
      <c r="Q51" s="2" t="s">
        <v>165</v>
      </c>
      <c r="R51" s="2" t="s">
        <v>166</v>
      </c>
      <c r="S51" s="2" t="s">
        <v>116</v>
      </c>
      <c r="T51" s="2" t="s">
        <v>117</v>
      </c>
      <c r="U51" s="2" t="s">
        <v>226</v>
      </c>
      <c r="V51" s="2" t="s">
        <v>118</v>
      </c>
      <c r="W51" s="2" t="s">
        <v>167</v>
      </c>
      <c r="X51" s="2" t="s">
        <v>125</v>
      </c>
      <c r="Y51" s="2" t="s">
        <v>172</v>
      </c>
      <c r="Z51" s="2" t="s">
        <v>128</v>
      </c>
      <c r="AA51" s="2" t="s">
        <v>130</v>
      </c>
      <c r="AB51" s="2" t="s">
        <v>131</v>
      </c>
    </row>
    <row r="52" spans="1:28" x14ac:dyDescent="0.25">
      <c r="A52" s="16" t="s">
        <v>13</v>
      </c>
      <c r="B52" s="19" t="s">
        <v>14</v>
      </c>
      <c r="C52" s="19">
        <v>1</v>
      </c>
      <c r="D52" s="19">
        <v>2</v>
      </c>
      <c r="E52" s="19">
        <v>3</v>
      </c>
      <c r="F52" s="19">
        <v>4</v>
      </c>
      <c r="G52" s="19">
        <v>5</v>
      </c>
      <c r="H52" s="19">
        <v>6</v>
      </c>
      <c r="I52" s="19">
        <v>7</v>
      </c>
      <c r="J52" s="19">
        <v>8</v>
      </c>
      <c r="K52" s="19">
        <v>9</v>
      </c>
      <c r="L52" s="19">
        <v>10</v>
      </c>
      <c r="M52" s="19">
        <v>11</v>
      </c>
      <c r="N52" s="19">
        <v>12</v>
      </c>
      <c r="O52" s="19">
        <v>13</v>
      </c>
      <c r="P52" s="15">
        <v>14</v>
      </c>
      <c r="Q52" s="15">
        <v>15</v>
      </c>
      <c r="R52" s="15">
        <v>16</v>
      </c>
      <c r="S52" s="15">
        <v>17</v>
      </c>
      <c r="T52" s="15">
        <v>18</v>
      </c>
      <c r="U52" s="15">
        <v>19</v>
      </c>
      <c r="V52" s="15">
        <v>20</v>
      </c>
      <c r="W52" s="15">
        <v>21</v>
      </c>
      <c r="X52" s="15">
        <v>23</v>
      </c>
      <c r="Y52" s="15">
        <v>24</v>
      </c>
      <c r="Z52" s="15">
        <v>25</v>
      </c>
      <c r="AA52" s="15">
        <v>26</v>
      </c>
      <c r="AB52" s="15">
        <v>27</v>
      </c>
    </row>
    <row r="53" spans="1:28" ht="34.5" x14ac:dyDescent="0.25">
      <c r="A53" s="3" t="s">
        <v>10</v>
      </c>
      <c r="B53" s="19">
        <v>1</v>
      </c>
      <c r="C53" s="10" t="s">
        <v>79</v>
      </c>
      <c r="D53" s="11">
        <f t="shared" ref="D53:N53" si="16">(D5/C5)*100</f>
        <v>100.63371356147022</v>
      </c>
      <c r="E53" s="11">
        <f t="shared" si="16"/>
        <v>100.37783375314862</v>
      </c>
      <c r="F53" s="11">
        <f t="shared" si="16"/>
        <v>100.62735257214554</v>
      </c>
      <c r="G53" s="11">
        <f t="shared" si="16"/>
        <v>101.43391521197007</v>
      </c>
      <c r="H53" s="11">
        <f t="shared" si="16"/>
        <v>102.02827289489859</v>
      </c>
      <c r="I53" s="11">
        <f t="shared" si="16"/>
        <v>101.3855421686747</v>
      </c>
      <c r="J53" s="11">
        <f t="shared" si="16"/>
        <v>101.12893642305406</v>
      </c>
      <c r="K53" s="11">
        <f t="shared" si="16"/>
        <v>101.70387779083431</v>
      </c>
      <c r="L53" s="11">
        <f t="shared" si="16"/>
        <v>101.27094165222417</v>
      </c>
      <c r="M53" s="11">
        <f t="shared" si="16"/>
        <v>101.25499144324014</v>
      </c>
      <c r="N53" s="11">
        <f t="shared" si="16"/>
        <v>101.63380281690142</v>
      </c>
      <c r="O53" s="11">
        <f>POWER(PRODUCT(D53:N53), 1/COUNTA(D53:N53))</f>
        <v>101.22423496261014</v>
      </c>
      <c r="P53" s="5">
        <f>QUARTILE(D53:N53,4)</f>
        <v>102.02827289489859</v>
      </c>
      <c r="Q53" s="5">
        <f>QUARTILE(D53:N53, 0)</f>
        <v>100.37783375314862</v>
      </c>
      <c r="R53" s="5">
        <f>P53-Q53</f>
        <v>1.6504391417499704</v>
      </c>
      <c r="S53" s="5">
        <f>QUARTILE(D53:N53,1)</f>
        <v>100.88132499226214</v>
      </c>
      <c r="T53" s="5">
        <f>QUARTILE(D53:N53, 3)</f>
        <v>101.53385901443575</v>
      </c>
      <c r="U53" s="5">
        <f>QUARTILE(D53:N53, 2)</f>
        <v>101.27094165222417</v>
      </c>
      <c r="V53" s="42" t="s">
        <v>229</v>
      </c>
      <c r="W53" s="5">
        <f>SUM(I16:I26)/COUNTA(I16:I26)</f>
        <v>0.38825479828132359</v>
      </c>
      <c r="X53" s="5">
        <f>SUM(J16:J26)/COUNTA(J16:J26)</f>
        <v>0.23162311785638348</v>
      </c>
      <c r="Y53" s="5">
        <f>SQRT(X53)</f>
        <v>0.48127239465440302</v>
      </c>
      <c r="Z53" s="5">
        <f>R53/O53*100</f>
        <v>1.6304782568715921</v>
      </c>
      <c r="AA53" s="5">
        <f>W53/O53*100</f>
        <v>0.38355913326955327</v>
      </c>
      <c r="AB53" s="5">
        <f>Y53/O53*100</f>
        <v>0.47545174812353364</v>
      </c>
    </row>
    <row r="54" spans="1:28" ht="34.5" x14ac:dyDescent="0.25">
      <c r="A54" s="3" t="s">
        <v>11</v>
      </c>
      <c r="B54" s="19">
        <v>2</v>
      </c>
      <c r="C54" s="12" t="s">
        <v>79</v>
      </c>
      <c r="D54" s="11">
        <f t="shared" ref="D54:N54" si="17">(D6/C6)*100</f>
        <v>99.524375743162892</v>
      </c>
      <c r="E54" s="11">
        <f t="shared" si="17"/>
        <v>101.19474313022701</v>
      </c>
      <c r="F54" s="11">
        <f t="shared" si="17"/>
        <v>100.70838252656435</v>
      </c>
      <c r="G54" s="11">
        <f t="shared" si="17"/>
        <v>100.23446658851114</v>
      </c>
      <c r="H54" s="11">
        <f t="shared" si="17"/>
        <v>101.52046783625732</v>
      </c>
      <c r="I54" s="11">
        <f t="shared" si="17"/>
        <v>100.11520737327189</v>
      </c>
      <c r="J54" s="11">
        <f t="shared" si="17"/>
        <v>100.57537399309551</v>
      </c>
      <c r="K54" s="11">
        <f t="shared" si="17"/>
        <v>100.11441647597255</v>
      </c>
      <c r="L54" s="11">
        <f t="shared" si="17"/>
        <v>98.285714285714292</v>
      </c>
      <c r="M54" s="11">
        <f t="shared" si="17"/>
        <v>101.6279069767442</v>
      </c>
      <c r="N54" s="11">
        <f t="shared" si="17"/>
        <v>98.283752860411894</v>
      </c>
      <c r="O54" s="11">
        <f>POWER(PRODUCT(D54:N54), 1/COUNTA(D54:N54))</f>
        <v>100.19270600356067</v>
      </c>
      <c r="P54" s="5">
        <f>QUARTILE(D54:N54,4)</f>
        <v>101.6279069767442</v>
      </c>
      <c r="Q54" s="5">
        <f>QUARTILE(D54:N54, 0)</f>
        <v>98.283752860411894</v>
      </c>
      <c r="R54" s="5">
        <f>P54-Q54</f>
        <v>3.3441541163323052</v>
      </c>
      <c r="S54" s="5">
        <f>QUARTILE(D54:N54,1)</f>
        <v>99.81939610956772</v>
      </c>
      <c r="T54" s="5">
        <f>QUARTILE(D54:N54, 3)</f>
        <v>100.95156282839568</v>
      </c>
      <c r="U54" s="5">
        <f>QUARTILE(D54:N54, 2)</f>
        <v>100.23446658851114</v>
      </c>
      <c r="V54" s="42" t="s">
        <v>230</v>
      </c>
      <c r="W54" s="5">
        <f>SUM(I37:I47)/COUNTA(I37:I47)</f>
        <v>0.84956075539139553</v>
      </c>
      <c r="X54" s="5">
        <f>SUM(J37:J47)/COUNTA(J37:J47)</f>
        <v>1.18004117032001</v>
      </c>
      <c r="Y54" s="5">
        <f>SQRT(X54)</f>
        <v>1.0862969991305371</v>
      </c>
      <c r="Z54" s="5">
        <f>R54/O54*100</f>
        <v>3.3377221254144587</v>
      </c>
      <c r="AA54" s="5">
        <f t="shared" ref="AA54" si="18">W54/O54*100</f>
        <v>0.84792674963904413</v>
      </c>
      <c r="AB54" s="5">
        <f t="shared" ref="AB54" si="19">Y54/O54*100</f>
        <v>1.0842076658673456</v>
      </c>
    </row>
    <row r="56" spans="1:28" x14ac:dyDescent="0.25">
      <c r="A56" s="6" t="s">
        <v>99</v>
      </c>
    </row>
    <row r="58" spans="1:28" x14ac:dyDescent="0.25">
      <c r="A58" s="48" t="s">
        <v>100</v>
      </c>
    </row>
    <row r="59" spans="1:28" x14ac:dyDescent="0.25">
      <c r="A59" s="80" t="s">
        <v>12</v>
      </c>
      <c r="B59" s="81"/>
      <c r="C59" s="2">
        <v>2008</v>
      </c>
      <c r="D59" s="2">
        <v>2009</v>
      </c>
      <c r="E59" s="2">
        <v>2010</v>
      </c>
      <c r="F59" s="2">
        <v>2011</v>
      </c>
      <c r="G59" s="2">
        <v>2012</v>
      </c>
      <c r="H59" s="2">
        <v>2013</v>
      </c>
      <c r="I59" s="2">
        <v>2014</v>
      </c>
      <c r="J59" s="2">
        <v>2015</v>
      </c>
      <c r="K59" s="2">
        <v>2016</v>
      </c>
      <c r="L59" s="2">
        <v>2017</v>
      </c>
      <c r="M59" s="2">
        <v>2018</v>
      </c>
      <c r="N59" s="2">
        <v>2019</v>
      </c>
    </row>
    <row r="60" spans="1:28" x14ac:dyDescent="0.25">
      <c r="A60" s="16" t="s">
        <v>13</v>
      </c>
      <c r="B60" s="19" t="s">
        <v>14</v>
      </c>
      <c r="C60" s="19">
        <v>1</v>
      </c>
      <c r="D60" s="19">
        <v>2</v>
      </c>
      <c r="E60" s="19">
        <v>3</v>
      </c>
      <c r="F60" s="19">
        <v>4</v>
      </c>
      <c r="G60" s="19">
        <v>5</v>
      </c>
      <c r="H60" s="19">
        <v>6</v>
      </c>
      <c r="I60" s="19">
        <v>7</v>
      </c>
      <c r="J60" s="19">
        <v>8</v>
      </c>
      <c r="K60" s="19">
        <v>9</v>
      </c>
      <c r="L60" s="19">
        <v>10</v>
      </c>
      <c r="M60" s="19">
        <v>11</v>
      </c>
      <c r="N60" s="19">
        <v>12</v>
      </c>
    </row>
    <row r="61" spans="1:28" x14ac:dyDescent="0.25">
      <c r="A61" s="3" t="s">
        <v>101</v>
      </c>
      <c r="B61" s="19">
        <v>1</v>
      </c>
      <c r="C61" s="10">
        <f t="shared" ref="C61:N61" si="20">C5*C6</f>
        <v>132.7098</v>
      </c>
      <c r="D61" s="10">
        <f t="shared" si="20"/>
        <v>132.91560000000001</v>
      </c>
      <c r="E61" s="10">
        <f t="shared" si="20"/>
        <v>135.01179999999999</v>
      </c>
      <c r="F61" s="10">
        <f t="shared" si="20"/>
        <v>136.8212</v>
      </c>
      <c r="G61" s="10">
        <f t="shared" si="20"/>
        <v>139.10849999999999</v>
      </c>
      <c r="H61" s="10">
        <f t="shared" si="20"/>
        <v>144.08799999999999</v>
      </c>
      <c r="I61" s="10">
        <f t="shared" si="20"/>
        <v>146.2527</v>
      </c>
      <c r="J61" s="10">
        <f t="shared" si="20"/>
        <v>148.75479999999999</v>
      </c>
      <c r="K61" s="10">
        <f t="shared" si="20"/>
        <v>151.46250000000001</v>
      </c>
      <c r="L61" s="10">
        <f t="shared" si="20"/>
        <v>150.75800000000001</v>
      </c>
      <c r="M61" s="10">
        <f t="shared" si="20"/>
        <v>155.13499999999999</v>
      </c>
      <c r="N61" s="10">
        <f t="shared" si="20"/>
        <v>154.96360000000001</v>
      </c>
    </row>
    <row r="62" spans="1:28" x14ac:dyDescent="0.25">
      <c r="A62" s="49"/>
      <c r="B62" s="52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4" spans="1:28" x14ac:dyDescent="0.25">
      <c r="A64" s="6" t="s">
        <v>103</v>
      </c>
    </row>
    <row r="66" spans="1:14" x14ac:dyDescent="0.25">
      <c r="A66" s="48" t="s">
        <v>102</v>
      </c>
    </row>
    <row r="67" spans="1:14" x14ac:dyDescent="0.25">
      <c r="A67" s="80" t="s">
        <v>12</v>
      </c>
      <c r="B67" s="81"/>
      <c r="C67" s="2">
        <v>2008</v>
      </c>
      <c r="D67" s="2">
        <v>2009</v>
      </c>
      <c r="E67" s="2">
        <v>2010</v>
      </c>
      <c r="F67" s="2">
        <v>2011</v>
      </c>
      <c r="G67" s="2">
        <v>2012</v>
      </c>
      <c r="H67" s="2">
        <v>2013</v>
      </c>
      <c r="I67" s="2">
        <v>2014</v>
      </c>
      <c r="J67" s="2">
        <v>2015</v>
      </c>
      <c r="K67" s="2">
        <v>2016</v>
      </c>
      <c r="L67" s="2">
        <v>2017</v>
      </c>
      <c r="M67" s="2">
        <v>2018</v>
      </c>
      <c r="N67" s="2">
        <v>2019</v>
      </c>
    </row>
    <row r="68" spans="1:14" x14ac:dyDescent="0.25">
      <c r="A68" s="16" t="s">
        <v>13</v>
      </c>
      <c r="B68" s="19" t="s">
        <v>14</v>
      </c>
      <c r="C68" s="19">
        <v>1</v>
      </c>
      <c r="D68" s="19">
        <v>2</v>
      </c>
      <c r="E68" s="19">
        <v>3</v>
      </c>
      <c r="F68" s="19">
        <v>4</v>
      </c>
      <c r="G68" s="19">
        <v>5</v>
      </c>
      <c r="H68" s="19">
        <v>6</v>
      </c>
      <c r="I68" s="19">
        <v>7</v>
      </c>
      <c r="J68" s="19">
        <v>8</v>
      </c>
      <c r="K68" s="19">
        <v>9</v>
      </c>
      <c r="L68" s="19">
        <v>10</v>
      </c>
      <c r="M68" s="19">
        <v>11</v>
      </c>
      <c r="N68" s="19">
        <v>12</v>
      </c>
    </row>
    <row r="69" spans="1:14" x14ac:dyDescent="0.25">
      <c r="A69" s="3" t="s">
        <v>101</v>
      </c>
      <c r="B69" s="19">
        <v>1</v>
      </c>
      <c r="C69" s="10" t="s">
        <v>79</v>
      </c>
      <c r="D69" s="10">
        <f>(D61/C61)*100</f>
        <v>100.15507520921591</v>
      </c>
      <c r="E69" s="10">
        <f t="shared" ref="E69:N69" si="21">(E61/D61)*100</f>
        <v>101.57709102618502</v>
      </c>
      <c r="F69" s="10">
        <f t="shared" si="21"/>
        <v>101.34017915471092</v>
      </c>
      <c r="G69" s="10">
        <f t="shared" si="21"/>
        <v>101.67174385256087</v>
      </c>
      <c r="H69" s="10">
        <f t="shared" si="21"/>
        <v>103.57957996815435</v>
      </c>
      <c r="I69" s="10">
        <f t="shared" si="21"/>
        <v>101.50234578868469</v>
      </c>
      <c r="J69" s="10">
        <f t="shared" si="21"/>
        <v>101.7108060227264</v>
      </c>
      <c r="K69" s="10">
        <f t="shared" si="21"/>
        <v>101.82024378373002</v>
      </c>
      <c r="L69" s="10">
        <f t="shared" si="21"/>
        <v>99.534868366757451</v>
      </c>
      <c r="M69" s="10">
        <f t="shared" si="21"/>
        <v>102.90332851324638</v>
      </c>
      <c r="N69" s="10">
        <f t="shared" si="21"/>
        <v>99.889515583201742</v>
      </c>
    </row>
    <row r="70" spans="1:14" x14ac:dyDescent="0.25">
      <c r="A70" s="49"/>
      <c r="B70" s="52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</row>
    <row r="72" spans="1:14" x14ac:dyDescent="0.25">
      <c r="A72" s="6" t="s">
        <v>103</v>
      </c>
    </row>
    <row r="75" spans="1:14" x14ac:dyDescent="0.25">
      <c r="A75" s="9" t="s">
        <v>104</v>
      </c>
    </row>
    <row r="76" spans="1:14" x14ac:dyDescent="0.25">
      <c r="A76" s="80" t="s">
        <v>12</v>
      </c>
      <c r="B76" s="81"/>
      <c r="C76" s="2">
        <v>2008</v>
      </c>
      <c r="D76" s="2">
        <v>2009</v>
      </c>
      <c r="E76" s="2">
        <v>2010</v>
      </c>
      <c r="F76" s="2">
        <v>2011</v>
      </c>
      <c r="G76" s="2">
        <v>2012</v>
      </c>
      <c r="H76" s="2">
        <v>2013</v>
      </c>
      <c r="I76" s="2">
        <v>2014</v>
      </c>
      <c r="J76" s="2">
        <v>2015</v>
      </c>
      <c r="K76" s="2">
        <v>2016</v>
      </c>
      <c r="L76" s="2">
        <v>2017</v>
      </c>
      <c r="M76" s="2">
        <v>2018</v>
      </c>
      <c r="N76" s="2">
        <v>2019</v>
      </c>
    </row>
    <row r="77" spans="1:14" x14ac:dyDescent="0.25">
      <c r="A77" s="16" t="s">
        <v>13</v>
      </c>
      <c r="B77" s="19" t="s">
        <v>14</v>
      </c>
      <c r="C77" s="19">
        <v>1</v>
      </c>
      <c r="D77" s="19">
        <v>2</v>
      </c>
      <c r="E77" s="19">
        <v>3</v>
      </c>
      <c r="F77" s="19">
        <v>4</v>
      </c>
      <c r="G77" s="19">
        <v>5</v>
      </c>
      <c r="H77" s="19">
        <v>6</v>
      </c>
      <c r="I77" s="19">
        <v>7</v>
      </c>
      <c r="J77" s="19">
        <v>8</v>
      </c>
      <c r="K77" s="19">
        <v>9</v>
      </c>
      <c r="L77" s="19">
        <v>10</v>
      </c>
      <c r="M77" s="19">
        <v>11</v>
      </c>
      <c r="N77" s="19">
        <v>12</v>
      </c>
    </row>
    <row r="78" spans="1:14" x14ac:dyDescent="0.25">
      <c r="A78" s="3" t="s">
        <v>10</v>
      </c>
      <c r="B78" s="19">
        <v>1</v>
      </c>
      <c r="C78" s="10">
        <f t="shared" ref="C78:N78" si="22">(C5/$E5)*100</f>
        <v>98.996235884567128</v>
      </c>
      <c r="D78" s="10">
        <f t="shared" si="22"/>
        <v>99.623588456712682</v>
      </c>
      <c r="E78" s="10">
        <f t="shared" si="22"/>
        <v>100</v>
      </c>
      <c r="F78" s="10">
        <f t="shared" si="22"/>
        <v>100.62735257214554</v>
      </c>
      <c r="G78" s="10">
        <f t="shared" si="22"/>
        <v>102.07026348808029</v>
      </c>
      <c r="H78" s="10">
        <f t="shared" si="22"/>
        <v>104.1405269761606</v>
      </c>
      <c r="I78" s="10">
        <f t="shared" si="22"/>
        <v>105.58343789209536</v>
      </c>
      <c r="J78" s="10">
        <f t="shared" si="22"/>
        <v>106.7754077791719</v>
      </c>
      <c r="K78" s="10">
        <f t="shared" si="22"/>
        <v>108.59473023839396</v>
      </c>
      <c r="L78" s="10">
        <f t="shared" si="22"/>
        <v>109.97490589711418</v>
      </c>
      <c r="M78" s="10">
        <f t="shared" si="22"/>
        <v>111.35508155583437</v>
      </c>
      <c r="N78" s="10">
        <f t="shared" si="22"/>
        <v>113.17440401505645</v>
      </c>
    </row>
    <row r="79" spans="1:14" x14ac:dyDescent="0.25">
      <c r="A79" s="3" t="s">
        <v>11</v>
      </c>
      <c r="B79" s="19">
        <v>2</v>
      </c>
      <c r="C79" s="10">
        <f t="shared" ref="C79:N79" si="23">(C6/$E6)*100</f>
        <v>99.29161747343565</v>
      </c>
      <c r="D79" s="10">
        <f t="shared" si="23"/>
        <v>98.819362455726093</v>
      </c>
      <c r="E79" s="10">
        <f t="shared" si="23"/>
        <v>100</v>
      </c>
      <c r="F79" s="10">
        <f t="shared" si="23"/>
        <v>100.70838252656435</v>
      </c>
      <c r="G79" s="10">
        <f t="shared" si="23"/>
        <v>100.94451003541913</v>
      </c>
      <c r="H79" s="10">
        <f t="shared" si="23"/>
        <v>102.4793388429752</v>
      </c>
      <c r="I79" s="10">
        <f t="shared" si="23"/>
        <v>102.59740259740259</v>
      </c>
      <c r="J79" s="10">
        <f t="shared" si="23"/>
        <v>103.18772136953956</v>
      </c>
      <c r="K79" s="10">
        <f t="shared" si="23"/>
        <v>103.30578512396696</v>
      </c>
      <c r="L79" s="10">
        <f t="shared" si="23"/>
        <v>101.53482880755608</v>
      </c>
      <c r="M79" s="10">
        <f t="shared" si="23"/>
        <v>103.18772136953956</v>
      </c>
      <c r="N79" s="10">
        <f t="shared" si="23"/>
        <v>101.41676505312869</v>
      </c>
    </row>
    <row r="82" spans="1:14" x14ac:dyDescent="0.25">
      <c r="A82" s="6" t="s">
        <v>103</v>
      </c>
    </row>
    <row r="85" spans="1:14" x14ac:dyDescent="0.25">
      <c r="A85" s="9" t="s">
        <v>105</v>
      </c>
    </row>
    <row r="86" spans="1:14" x14ac:dyDescent="0.25">
      <c r="A86" s="80" t="s">
        <v>12</v>
      </c>
      <c r="B86" s="81"/>
      <c r="C86" s="2">
        <v>2008</v>
      </c>
      <c r="D86" s="2">
        <v>2009</v>
      </c>
      <c r="E86" s="2">
        <v>2010</v>
      </c>
      <c r="F86" s="2">
        <v>2011</v>
      </c>
      <c r="G86" s="2">
        <v>2012</v>
      </c>
      <c r="H86" s="2">
        <v>2013</v>
      </c>
      <c r="I86" s="2">
        <v>2014</v>
      </c>
      <c r="J86" s="2">
        <v>2015</v>
      </c>
      <c r="K86" s="2">
        <v>2016</v>
      </c>
      <c r="L86" s="2">
        <v>2017</v>
      </c>
      <c r="M86" s="2">
        <v>2018</v>
      </c>
      <c r="N86" s="2">
        <v>2019</v>
      </c>
    </row>
    <row r="87" spans="1:14" x14ac:dyDescent="0.25">
      <c r="A87" s="16" t="s">
        <v>13</v>
      </c>
      <c r="B87" s="19" t="s">
        <v>14</v>
      </c>
      <c r="C87" s="19">
        <v>1</v>
      </c>
      <c r="D87" s="19">
        <v>2</v>
      </c>
      <c r="E87" s="19">
        <v>3</v>
      </c>
      <c r="F87" s="19">
        <v>4</v>
      </c>
      <c r="G87" s="19">
        <v>5</v>
      </c>
      <c r="H87" s="19">
        <v>6</v>
      </c>
      <c r="I87" s="19">
        <v>7</v>
      </c>
      <c r="J87" s="19">
        <v>8</v>
      </c>
      <c r="K87" s="19">
        <v>9</v>
      </c>
      <c r="L87" s="19">
        <v>10</v>
      </c>
      <c r="M87" s="19">
        <v>11</v>
      </c>
      <c r="N87" s="19">
        <v>12</v>
      </c>
    </row>
    <row r="88" spans="1:14" x14ac:dyDescent="0.25">
      <c r="A88" s="3" t="s">
        <v>10</v>
      </c>
      <c r="B88" s="19">
        <v>1</v>
      </c>
      <c r="C88" s="10">
        <f t="shared" ref="C88:N88" si="24">(C5/$K5)*100</f>
        <v>91.161178509532064</v>
      </c>
      <c r="D88" s="10">
        <f t="shared" si="24"/>
        <v>91.738879260543044</v>
      </c>
      <c r="E88" s="10">
        <f t="shared" si="24"/>
        <v>92.085499711149637</v>
      </c>
      <c r="F88" s="10">
        <f t="shared" si="24"/>
        <v>92.663200462160617</v>
      </c>
      <c r="G88" s="10">
        <f t="shared" si="24"/>
        <v>93.991912189485845</v>
      </c>
      <c r="H88" s="10">
        <f t="shared" si="24"/>
        <v>95.898324667822067</v>
      </c>
      <c r="I88" s="10">
        <f t="shared" si="24"/>
        <v>97.227036395147323</v>
      </c>
      <c r="J88" s="10">
        <f t="shared" si="24"/>
        <v>98.324667822068164</v>
      </c>
      <c r="K88" s="10">
        <f t="shared" si="24"/>
        <v>100</v>
      </c>
      <c r="L88" s="10">
        <f t="shared" si="24"/>
        <v>101.27094165222417</v>
      </c>
      <c r="M88" s="10">
        <f t="shared" si="24"/>
        <v>102.54188330444829</v>
      </c>
      <c r="N88" s="10">
        <f t="shared" si="24"/>
        <v>104.21721548238014</v>
      </c>
    </row>
    <row r="89" spans="1:14" x14ac:dyDescent="0.25">
      <c r="A89" s="3" t="s">
        <v>11</v>
      </c>
      <c r="B89" s="19">
        <v>2</v>
      </c>
      <c r="C89" s="10">
        <f t="shared" ref="C89:N89" si="25">(C6/$K6)*100</f>
        <v>96.114285714285714</v>
      </c>
      <c r="D89" s="10">
        <f t="shared" si="25"/>
        <v>95.657142857142858</v>
      </c>
      <c r="E89" s="10">
        <f t="shared" si="25"/>
        <v>96.8</v>
      </c>
      <c r="F89" s="10">
        <f t="shared" si="25"/>
        <v>97.48571428571428</v>
      </c>
      <c r="G89" s="10">
        <f t="shared" si="25"/>
        <v>97.714285714285708</v>
      </c>
      <c r="H89" s="10">
        <f t="shared" si="25"/>
        <v>99.2</v>
      </c>
      <c r="I89" s="10">
        <f t="shared" si="25"/>
        <v>99.314285714285717</v>
      </c>
      <c r="J89" s="10">
        <f t="shared" si="25"/>
        <v>99.885714285714286</v>
      </c>
      <c r="K89" s="10">
        <f t="shared" si="25"/>
        <v>100</v>
      </c>
      <c r="L89" s="10">
        <f t="shared" si="25"/>
        <v>98.285714285714292</v>
      </c>
      <c r="M89" s="10">
        <f t="shared" si="25"/>
        <v>99.885714285714286</v>
      </c>
      <c r="N89" s="10">
        <f t="shared" si="25"/>
        <v>98.171428571428564</v>
      </c>
    </row>
    <row r="92" spans="1:14" x14ac:dyDescent="0.25">
      <c r="A92" s="6" t="s">
        <v>103</v>
      </c>
    </row>
    <row r="95" spans="1:14" x14ac:dyDescent="0.25">
      <c r="A95" s="48" t="s">
        <v>106</v>
      </c>
    </row>
    <row r="96" spans="1:14" x14ac:dyDescent="0.25">
      <c r="A96" s="80" t="s">
        <v>12</v>
      </c>
      <c r="B96" s="81"/>
      <c r="C96" s="2">
        <v>2008</v>
      </c>
      <c r="D96" s="2">
        <v>2009</v>
      </c>
      <c r="E96" s="2">
        <v>2010</v>
      </c>
      <c r="F96" s="2">
        <v>2011</v>
      </c>
      <c r="G96" s="2">
        <v>2012</v>
      </c>
      <c r="H96" s="2">
        <v>2013</v>
      </c>
      <c r="I96" s="2">
        <v>2014</v>
      </c>
      <c r="J96" s="2">
        <v>2015</v>
      </c>
      <c r="K96" s="2">
        <v>2016</v>
      </c>
      <c r="L96" s="2">
        <v>2017</v>
      </c>
      <c r="M96" s="2">
        <v>2018</v>
      </c>
      <c r="N96" s="2">
        <v>2019</v>
      </c>
    </row>
    <row r="97" spans="1:14" x14ac:dyDescent="0.25">
      <c r="A97" s="16" t="s">
        <v>13</v>
      </c>
      <c r="B97" s="19" t="s">
        <v>14</v>
      </c>
      <c r="C97" s="19">
        <v>1</v>
      </c>
      <c r="D97" s="19">
        <v>2</v>
      </c>
      <c r="E97" s="19">
        <v>3</v>
      </c>
      <c r="F97" s="19">
        <v>4</v>
      </c>
      <c r="G97" s="19">
        <v>5</v>
      </c>
      <c r="H97" s="19">
        <v>6</v>
      </c>
      <c r="I97" s="19">
        <v>7</v>
      </c>
      <c r="J97" s="19">
        <v>8</v>
      </c>
      <c r="K97" s="19">
        <v>9</v>
      </c>
      <c r="L97" s="19">
        <v>10</v>
      </c>
      <c r="M97" s="19">
        <v>11</v>
      </c>
      <c r="N97" s="19">
        <v>12</v>
      </c>
    </row>
    <row r="98" spans="1:14" x14ac:dyDescent="0.25">
      <c r="A98" s="3" t="s">
        <v>107</v>
      </c>
      <c r="B98" s="19">
        <v>1</v>
      </c>
      <c r="C98" s="10">
        <f>'1.1'!C5/'1.4'!C61</f>
        <v>3.681717552132548</v>
      </c>
      <c r="D98" s="10">
        <f>'1.1'!D5/'1.4'!D61</f>
        <v>3.7189013178287573</v>
      </c>
      <c r="E98" s="10">
        <f>'1.1'!E5/'1.4'!E61</f>
        <v>3.7418951528681199</v>
      </c>
      <c r="F98" s="10">
        <f>'1.1'!F5/'1.4'!F61</f>
        <v>3.7377248555048483</v>
      </c>
      <c r="G98" s="10">
        <f>'1.1'!G5/'1.4'!G61</f>
        <v>3.7244309298137788</v>
      </c>
      <c r="H98" s="10">
        <f>'1.1'!H5/'1.4'!H61</f>
        <v>3.6325023596690911</v>
      </c>
      <c r="I98" s="10">
        <f>'1.1'!I5/'1.4'!I61</f>
        <v>3.6019847838706562</v>
      </c>
      <c r="J98" s="10">
        <f>'1.1'!J5/'1.4'!J61</f>
        <v>3.5918168691027113</v>
      </c>
      <c r="K98" s="10">
        <f>'1.1'!K5/'1.4'!K61</f>
        <v>3.6154163571841216</v>
      </c>
      <c r="L98" s="10">
        <f>'1.1'!L5/'1.4'!L61</f>
        <v>3.6270048687300172</v>
      </c>
      <c r="M98" s="10">
        <f>'1.1'!M5/'1.4'!M61</f>
        <v>3.5839752473651982</v>
      </c>
      <c r="N98" s="10">
        <f>'1.1'!N5/'1.4'!N61</f>
        <v>3.6214956286508575</v>
      </c>
    </row>
    <row r="101" spans="1:14" x14ac:dyDescent="0.25">
      <c r="A101" s="6" t="s">
        <v>103</v>
      </c>
    </row>
  </sheetData>
  <mergeCells count="9">
    <mergeCell ref="A86:B86"/>
    <mergeCell ref="A96:B96"/>
    <mergeCell ref="A3:B3"/>
    <mergeCell ref="A51:B51"/>
    <mergeCell ref="A59:B59"/>
    <mergeCell ref="A67:B67"/>
    <mergeCell ref="A76:B76"/>
    <mergeCell ref="A13:B13"/>
    <mergeCell ref="A34:B34"/>
  </mergeCells>
  <conditionalFormatting sqref="C5:N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N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7"/>
  <sheetViews>
    <sheetView topLeftCell="A56" zoomScaleNormal="100" workbookViewId="0">
      <selection activeCell="C92" sqref="C92"/>
    </sheetView>
  </sheetViews>
  <sheetFormatPr defaultColWidth="11" defaultRowHeight="15" x14ac:dyDescent="0.2"/>
  <cols>
    <col min="1" max="1" width="42.25" style="39" customWidth="1"/>
    <col min="2" max="2" width="7.75" style="39" customWidth="1"/>
    <col min="3" max="3" width="41.75" style="39" customWidth="1"/>
    <col min="4" max="4" width="43.5" style="39" customWidth="1"/>
    <col min="5" max="16384" width="11" style="39"/>
  </cols>
  <sheetData>
    <row r="1" spans="1:4" ht="15.75" x14ac:dyDescent="0.25">
      <c r="A1" s="8" t="s">
        <v>297</v>
      </c>
      <c r="B1" s="62"/>
    </row>
    <row r="3" spans="1:4" x14ac:dyDescent="0.2">
      <c r="A3" s="97" t="s">
        <v>21</v>
      </c>
      <c r="B3" s="98"/>
      <c r="C3" s="73" t="s">
        <v>22</v>
      </c>
      <c r="D3" s="73" t="s">
        <v>299</v>
      </c>
    </row>
    <row r="4" spans="1:4" x14ac:dyDescent="0.2">
      <c r="A4" s="74" t="s">
        <v>13</v>
      </c>
      <c r="B4" s="74" t="s">
        <v>14</v>
      </c>
      <c r="C4" s="74">
        <v>1</v>
      </c>
      <c r="D4" s="74">
        <v>1</v>
      </c>
    </row>
    <row r="5" spans="1:4" x14ac:dyDescent="0.2">
      <c r="A5" s="75" t="s">
        <v>82</v>
      </c>
      <c r="B5" s="74">
        <v>1</v>
      </c>
      <c r="C5" s="45">
        <f>SUM(C6:C15)</f>
        <v>248633.69999999995</v>
      </c>
      <c r="D5" s="45">
        <f>SUM(D6:D15)</f>
        <v>246839.9</v>
      </c>
    </row>
    <row r="6" spans="1:4" x14ac:dyDescent="0.2">
      <c r="A6" s="76" t="s">
        <v>23</v>
      </c>
      <c r="B6" s="74">
        <v>2</v>
      </c>
      <c r="C6" s="45">
        <v>15400</v>
      </c>
      <c r="D6" s="45">
        <v>15800</v>
      </c>
    </row>
    <row r="7" spans="1:4" x14ac:dyDescent="0.2">
      <c r="A7" s="76" t="s">
        <v>110</v>
      </c>
      <c r="B7" s="74">
        <v>3</v>
      </c>
      <c r="C7" s="45">
        <v>178510</v>
      </c>
      <c r="D7" s="45">
        <v>177100</v>
      </c>
    </row>
    <row r="8" spans="1:4" x14ac:dyDescent="0.2">
      <c r="A8" s="76" t="s">
        <v>132</v>
      </c>
      <c r="B8" s="74">
        <v>4</v>
      </c>
      <c r="C8" s="45">
        <v>3489</v>
      </c>
      <c r="D8" s="45">
        <v>3935</v>
      </c>
    </row>
    <row r="9" spans="1:4" x14ac:dyDescent="0.2">
      <c r="A9" s="76" t="s">
        <v>135</v>
      </c>
      <c r="B9" s="74">
        <v>5</v>
      </c>
      <c r="C9" s="45">
        <v>8728.4</v>
      </c>
      <c r="D9" s="45">
        <v>9156</v>
      </c>
    </row>
    <row r="10" spans="1:4" x14ac:dyDescent="0.2">
      <c r="A10" s="76" t="s">
        <v>137</v>
      </c>
      <c r="B10" s="74">
        <v>6</v>
      </c>
      <c r="C10" s="45">
        <v>16366</v>
      </c>
      <c r="D10" s="45">
        <v>16265</v>
      </c>
    </row>
    <row r="11" spans="1:4" x14ac:dyDescent="0.2">
      <c r="A11" s="76" t="s">
        <v>138</v>
      </c>
      <c r="B11" s="74">
        <v>7</v>
      </c>
      <c r="C11" s="45">
        <v>13046</v>
      </c>
      <c r="D11" s="45">
        <v>13026</v>
      </c>
    </row>
    <row r="12" spans="1:4" x14ac:dyDescent="0.2">
      <c r="A12" s="76" t="s">
        <v>139</v>
      </c>
      <c r="B12" s="74">
        <v>8</v>
      </c>
      <c r="C12" s="45">
        <v>7687.3</v>
      </c>
      <c r="D12" s="45">
        <v>7687.3</v>
      </c>
    </row>
    <row r="13" spans="1:4" x14ac:dyDescent="0.2">
      <c r="A13" s="76" t="s">
        <v>280</v>
      </c>
      <c r="B13" s="74">
        <v>9</v>
      </c>
      <c r="C13" s="45">
        <v>228.3</v>
      </c>
      <c r="D13" s="45">
        <v>234</v>
      </c>
    </row>
    <row r="14" spans="1:4" x14ac:dyDescent="0.2">
      <c r="A14" s="76" t="s">
        <v>281</v>
      </c>
      <c r="B14" s="74">
        <v>10</v>
      </c>
      <c r="C14" s="45">
        <v>4968.3</v>
      </c>
      <c r="D14" s="45">
        <v>3400</v>
      </c>
    </row>
    <row r="15" spans="1:4" x14ac:dyDescent="0.2">
      <c r="A15" s="76" t="s">
        <v>282</v>
      </c>
      <c r="B15" s="74">
        <v>11</v>
      </c>
      <c r="C15" s="45">
        <v>210.4</v>
      </c>
      <c r="D15" s="45">
        <v>236.6</v>
      </c>
    </row>
    <row r="16" spans="1:4" x14ac:dyDescent="0.2">
      <c r="B16" s="77"/>
      <c r="C16" s="56"/>
    </row>
    <row r="18" spans="1:4" x14ac:dyDescent="0.2">
      <c r="A18" s="39" t="s">
        <v>24</v>
      </c>
    </row>
    <row r="19" spans="1:4" ht="47.25" x14ac:dyDescent="0.25">
      <c r="A19" s="78" t="s">
        <v>300</v>
      </c>
      <c r="B19" s="101" t="s">
        <v>142</v>
      </c>
      <c r="C19" s="102"/>
      <c r="D19" s="79" t="s">
        <v>307</v>
      </c>
    </row>
    <row r="20" spans="1:4" ht="30.75" x14ac:dyDescent="0.25">
      <c r="A20" s="78" t="s">
        <v>301</v>
      </c>
      <c r="B20" s="101" t="s">
        <v>141</v>
      </c>
      <c r="C20" s="102"/>
      <c r="D20" s="78" t="s">
        <v>308</v>
      </c>
    </row>
    <row r="21" spans="1:4" ht="30.6" customHeight="1" x14ac:dyDescent="0.25">
      <c r="A21" s="78" t="s">
        <v>302</v>
      </c>
      <c r="B21" s="101" t="s">
        <v>133</v>
      </c>
      <c r="C21" s="102"/>
      <c r="D21" s="79" t="s">
        <v>133</v>
      </c>
    </row>
    <row r="22" spans="1:4" ht="31.5" x14ac:dyDescent="0.25">
      <c r="A22" s="78" t="s">
        <v>303</v>
      </c>
      <c r="B22" s="100" t="s">
        <v>134</v>
      </c>
      <c r="C22" s="102"/>
      <c r="D22" s="79" t="s">
        <v>310</v>
      </c>
    </row>
    <row r="23" spans="1:4" ht="30.75" x14ac:dyDescent="0.25">
      <c r="A23" s="78" t="s">
        <v>304</v>
      </c>
      <c r="B23" s="101" t="s">
        <v>136</v>
      </c>
      <c r="C23" s="102"/>
      <c r="D23" s="78" t="s">
        <v>309</v>
      </c>
    </row>
    <row r="24" spans="1:4" ht="31.5" x14ac:dyDescent="0.25">
      <c r="A24" s="78" t="s">
        <v>305</v>
      </c>
      <c r="B24" s="100" t="s">
        <v>273</v>
      </c>
      <c r="C24" s="102"/>
      <c r="D24" s="79" t="s">
        <v>311</v>
      </c>
    </row>
    <row r="25" spans="1:4" ht="45.75" x14ac:dyDescent="0.25">
      <c r="A25" s="78" t="s">
        <v>313</v>
      </c>
      <c r="B25" s="100" t="s">
        <v>140</v>
      </c>
      <c r="C25" s="102"/>
      <c r="D25" s="79" t="s">
        <v>312</v>
      </c>
    </row>
    <row r="26" spans="1:4" ht="60.75" x14ac:dyDescent="0.25">
      <c r="A26" s="78" t="s">
        <v>315</v>
      </c>
      <c r="B26" s="99" t="s">
        <v>279</v>
      </c>
      <c r="C26" s="100"/>
      <c r="D26" s="78" t="s">
        <v>316</v>
      </c>
    </row>
    <row r="27" spans="1:4" ht="63" x14ac:dyDescent="0.25">
      <c r="A27" s="78" t="s">
        <v>283</v>
      </c>
      <c r="B27" s="100" t="s">
        <v>284</v>
      </c>
      <c r="C27" s="100"/>
      <c r="D27" s="79" t="s">
        <v>317</v>
      </c>
    </row>
    <row r="28" spans="1:4" ht="47.25" x14ac:dyDescent="0.25">
      <c r="A28" s="78" t="s">
        <v>306</v>
      </c>
      <c r="B28" s="99" t="s">
        <v>285</v>
      </c>
      <c r="C28" s="100"/>
      <c r="D28" s="79" t="s">
        <v>314</v>
      </c>
    </row>
    <row r="31" spans="1:4" ht="15.75" x14ac:dyDescent="0.25">
      <c r="A31" s="62" t="s">
        <v>318</v>
      </c>
    </row>
    <row r="32" spans="1:4" ht="15.75" x14ac:dyDescent="0.25">
      <c r="A32" s="62"/>
    </row>
    <row r="33" spans="1:4" x14ac:dyDescent="0.2">
      <c r="A33" s="97" t="s">
        <v>21</v>
      </c>
      <c r="B33" s="98"/>
      <c r="C33" s="73" t="s">
        <v>22</v>
      </c>
      <c r="D33" s="73" t="s">
        <v>299</v>
      </c>
    </row>
    <row r="34" spans="1:4" x14ac:dyDescent="0.2">
      <c r="A34" s="74" t="s">
        <v>13</v>
      </c>
      <c r="B34" s="74" t="s">
        <v>14</v>
      </c>
      <c r="C34" s="74">
        <v>1</v>
      </c>
      <c r="D34" s="74">
        <v>2</v>
      </c>
    </row>
    <row r="35" spans="1:4" x14ac:dyDescent="0.2">
      <c r="A35" s="76" t="str">
        <f t="array" ref="A35:A43">A7:A15</f>
        <v>ПАО "ГАЗПРОМ"</v>
      </c>
      <c r="B35" s="74">
        <v>1</v>
      </c>
      <c r="C35" s="45">
        <f>C7-$C$6</f>
        <v>163110</v>
      </c>
      <c r="D35" s="45">
        <f>D7-$D$6</f>
        <v>161300</v>
      </c>
    </row>
    <row r="36" spans="1:4" x14ac:dyDescent="0.2">
      <c r="A36" s="76" t="str">
        <v>ПАО НК "РОССНЕФТЬ"</v>
      </c>
      <c r="B36" s="74">
        <v>2</v>
      </c>
      <c r="C36" s="45">
        <f t="shared" ref="C36:C39" si="0">C8-$C$6</f>
        <v>-11911</v>
      </c>
      <c r="D36" s="45">
        <f t="shared" ref="D36:D43" si="1">D8-$D$6</f>
        <v>-11865</v>
      </c>
    </row>
    <row r="37" spans="1:4" x14ac:dyDescent="0.2">
      <c r="A37" s="76" t="str">
        <v>ПАО "ТАТНЕФТЬ"</v>
      </c>
      <c r="B37" s="74">
        <v>3</v>
      </c>
      <c r="C37" s="45">
        <f t="shared" si="0"/>
        <v>-6671.6</v>
      </c>
      <c r="D37" s="45">
        <f t="shared" si="1"/>
        <v>-6644</v>
      </c>
    </row>
    <row r="38" spans="1:4" x14ac:dyDescent="0.2">
      <c r="A38" s="76" t="str">
        <v>ПАО "НОВАТЭК"</v>
      </c>
      <c r="B38" s="74">
        <v>4</v>
      </c>
      <c r="C38" s="45">
        <f t="shared" si="0"/>
        <v>966</v>
      </c>
      <c r="D38" s="45">
        <f t="shared" si="1"/>
        <v>465</v>
      </c>
    </row>
    <row r="39" spans="1:4" x14ac:dyDescent="0.2">
      <c r="A39" s="76" t="str">
        <v>ПАО АНК "БАШНЕФТЬ"</v>
      </c>
      <c r="B39" s="74">
        <v>5</v>
      </c>
      <c r="C39" s="45">
        <f t="shared" si="0"/>
        <v>-2354</v>
      </c>
      <c r="D39" s="45">
        <f t="shared" si="1"/>
        <v>-2774</v>
      </c>
    </row>
    <row r="40" spans="1:4" x14ac:dyDescent="0.2">
      <c r="A40" s="76" t="str">
        <v>ПАО НК "РУССНЕФТЬ"</v>
      </c>
      <c r="B40" s="74">
        <v>6</v>
      </c>
      <c r="C40" s="45">
        <f>C12-$C$6</f>
        <v>-7712.7</v>
      </c>
      <c r="D40" s="45">
        <f t="shared" si="1"/>
        <v>-8112.7</v>
      </c>
    </row>
    <row r="41" spans="1:4" x14ac:dyDescent="0.2">
      <c r="A41" s="76" t="str">
        <v>ПАО "НГК СЛАВНЕФТЬ"</v>
      </c>
      <c r="B41" s="74">
        <v>7</v>
      </c>
      <c r="C41" s="45">
        <f t="shared" ref="C41:C43" si="2">C13-$C$6</f>
        <v>-15171.7</v>
      </c>
      <c r="D41" s="45">
        <f t="shared" si="1"/>
        <v>-15566</v>
      </c>
    </row>
    <row r="42" spans="1:4" x14ac:dyDescent="0.2">
      <c r="A42" s="76" t="str">
        <v>ПАО "ЛУКОЙЛ-ПЕРМЬ"</v>
      </c>
      <c r="B42" s="74">
        <v>8</v>
      </c>
      <c r="C42" s="45">
        <f t="shared" si="2"/>
        <v>-10431.700000000001</v>
      </c>
      <c r="D42" s="45">
        <f t="shared" si="1"/>
        <v>-12400</v>
      </c>
    </row>
    <row r="43" spans="1:4" x14ac:dyDescent="0.2">
      <c r="A43" s="76" t="str">
        <v>ООО "ЛУКОЙЛ-Калининградморнефть"</v>
      </c>
      <c r="B43" s="74">
        <v>9</v>
      </c>
      <c r="C43" s="45">
        <f t="shared" si="2"/>
        <v>-15189.6</v>
      </c>
      <c r="D43" s="45">
        <f t="shared" si="1"/>
        <v>-15563.4</v>
      </c>
    </row>
    <row r="45" spans="1:4" x14ac:dyDescent="0.2">
      <c r="A45" s="39" t="s">
        <v>145</v>
      </c>
    </row>
    <row r="48" spans="1:4" ht="15.75" x14ac:dyDescent="0.25">
      <c r="A48" s="62" t="s">
        <v>319</v>
      </c>
    </row>
    <row r="49" spans="1:4" ht="15.75" x14ac:dyDescent="0.25">
      <c r="A49" s="62"/>
    </row>
    <row r="50" spans="1:4" x14ac:dyDescent="0.2">
      <c r="A50" s="97" t="s">
        <v>21</v>
      </c>
      <c r="B50" s="98"/>
      <c r="C50" s="73" t="s">
        <v>22</v>
      </c>
      <c r="D50" s="73" t="s">
        <v>299</v>
      </c>
    </row>
    <row r="51" spans="1:4" x14ac:dyDescent="0.2">
      <c r="A51" s="74" t="s">
        <v>13</v>
      </c>
      <c r="B51" s="74" t="s">
        <v>14</v>
      </c>
      <c r="C51" s="74">
        <v>1</v>
      </c>
      <c r="D51" s="74">
        <v>2</v>
      </c>
    </row>
    <row r="52" spans="1:4" x14ac:dyDescent="0.2">
      <c r="A52" s="76" t="s">
        <v>110</v>
      </c>
      <c r="B52" s="74">
        <v>1</v>
      </c>
      <c r="C52" s="45">
        <f>(C7/$C$6)*100</f>
        <v>1159.1558441558443</v>
      </c>
      <c r="D52" s="45">
        <f>(D7/$D$6)*100</f>
        <v>1120.8860759493671</v>
      </c>
    </row>
    <row r="53" spans="1:4" x14ac:dyDescent="0.2">
      <c r="A53" s="76" t="s">
        <v>132</v>
      </c>
      <c r="B53" s="74">
        <v>2</v>
      </c>
      <c r="C53" s="45">
        <f t="shared" ref="C53:C60" si="3">(C8/$C$6)*100</f>
        <v>22.655844155844157</v>
      </c>
      <c r="D53" s="45">
        <f t="shared" ref="D53:D60" si="4">(D8/$D$6)*100</f>
        <v>24.905063291139239</v>
      </c>
    </row>
    <row r="54" spans="1:4" x14ac:dyDescent="0.2">
      <c r="A54" s="76" t="s">
        <v>135</v>
      </c>
      <c r="B54" s="74">
        <v>3</v>
      </c>
      <c r="C54" s="45">
        <f t="shared" si="3"/>
        <v>56.677922077922069</v>
      </c>
      <c r="D54" s="45">
        <f t="shared" si="4"/>
        <v>57.949367088607595</v>
      </c>
    </row>
    <row r="55" spans="1:4" x14ac:dyDescent="0.2">
      <c r="A55" s="76" t="s">
        <v>137</v>
      </c>
      <c r="B55" s="74">
        <v>4</v>
      </c>
      <c r="C55" s="45">
        <f t="shared" si="3"/>
        <v>106.27272727272728</v>
      </c>
      <c r="D55" s="45">
        <f t="shared" si="4"/>
        <v>102.94303797468353</v>
      </c>
    </row>
    <row r="56" spans="1:4" x14ac:dyDescent="0.2">
      <c r="A56" s="76" t="s">
        <v>138</v>
      </c>
      <c r="B56" s="74">
        <v>5</v>
      </c>
      <c r="C56" s="45">
        <f t="shared" si="3"/>
        <v>84.714285714285722</v>
      </c>
      <c r="D56" s="45">
        <f t="shared" si="4"/>
        <v>82.443037974683548</v>
      </c>
    </row>
    <row r="57" spans="1:4" x14ac:dyDescent="0.2">
      <c r="A57" s="76" t="s">
        <v>139</v>
      </c>
      <c r="B57" s="74">
        <v>6</v>
      </c>
      <c r="C57" s="45">
        <f t="shared" si="3"/>
        <v>49.917532467532467</v>
      </c>
      <c r="D57" s="45">
        <f t="shared" si="4"/>
        <v>48.653797468354433</v>
      </c>
    </row>
    <row r="58" spans="1:4" x14ac:dyDescent="0.2">
      <c r="A58" s="76" t="s">
        <v>280</v>
      </c>
      <c r="B58" s="74">
        <v>7</v>
      </c>
      <c r="C58" s="45">
        <f t="shared" si="3"/>
        <v>1.4824675324675325</v>
      </c>
      <c r="D58" s="45">
        <f t="shared" si="4"/>
        <v>1.481012658227848</v>
      </c>
    </row>
    <row r="59" spans="1:4" x14ac:dyDescent="0.2">
      <c r="A59" s="76" t="s">
        <v>281</v>
      </c>
      <c r="B59" s="74">
        <v>8</v>
      </c>
      <c r="C59" s="45">
        <f t="shared" si="3"/>
        <v>32.26168831168831</v>
      </c>
      <c r="D59" s="45">
        <f t="shared" si="4"/>
        <v>21.518987341772153</v>
      </c>
    </row>
    <row r="60" spans="1:4" x14ac:dyDescent="0.2">
      <c r="A60" s="76" t="s">
        <v>282</v>
      </c>
      <c r="B60" s="74">
        <v>9</v>
      </c>
      <c r="C60" s="45">
        <f t="shared" si="3"/>
        <v>1.3662337662337662</v>
      </c>
      <c r="D60" s="45">
        <f t="shared" si="4"/>
        <v>1.4974683544303797</v>
      </c>
    </row>
    <row r="62" spans="1:4" x14ac:dyDescent="0.2">
      <c r="A62" s="39" t="s">
        <v>144</v>
      </c>
    </row>
    <row r="65" spans="1:4" ht="15.75" x14ac:dyDescent="0.25">
      <c r="A65" s="62" t="s">
        <v>320</v>
      </c>
    </row>
    <row r="67" spans="1:4" x14ac:dyDescent="0.2">
      <c r="A67" s="97" t="s">
        <v>21</v>
      </c>
      <c r="B67" s="98"/>
      <c r="C67" s="73" t="s">
        <v>22</v>
      </c>
      <c r="D67" s="73" t="s">
        <v>299</v>
      </c>
    </row>
    <row r="68" spans="1:4" x14ac:dyDescent="0.2">
      <c r="A68" s="74" t="s">
        <v>13</v>
      </c>
      <c r="B68" s="74" t="s">
        <v>14</v>
      </c>
      <c r="C68" s="74">
        <v>1</v>
      </c>
      <c r="D68" s="74">
        <v>2</v>
      </c>
    </row>
    <row r="69" spans="1:4" x14ac:dyDescent="0.2">
      <c r="A69" s="76" t="s">
        <v>23</v>
      </c>
      <c r="B69" s="74">
        <v>1</v>
      </c>
      <c r="C69" s="45">
        <f>(C6/$C$5)*100</f>
        <v>6.1938506324766118</v>
      </c>
      <c r="D69" s="45">
        <f>(D6/$D$5)*100</f>
        <v>6.4009100635675189</v>
      </c>
    </row>
    <row r="70" spans="1:4" x14ac:dyDescent="0.2">
      <c r="A70" s="76" t="s">
        <v>110</v>
      </c>
      <c r="B70" s="74">
        <v>2</v>
      </c>
      <c r="C70" s="45">
        <f t="shared" ref="C70:C74" si="5">(C7/$C$5)*100</f>
        <v>71.796381584636364</v>
      </c>
      <c r="D70" s="45">
        <f t="shared" ref="D70:D78" si="6">(D7/$D$5)*100</f>
        <v>71.746909636570095</v>
      </c>
    </row>
    <row r="71" spans="1:4" x14ac:dyDescent="0.2">
      <c r="A71" s="76" t="s">
        <v>132</v>
      </c>
      <c r="B71" s="74">
        <v>3</v>
      </c>
      <c r="C71" s="45">
        <f t="shared" si="5"/>
        <v>1.4032691465396687</v>
      </c>
      <c r="D71" s="45">
        <f t="shared" si="6"/>
        <v>1.5941507025403916</v>
      </c>
    </row>
    <row r="72" spans="1:4" x14ac:dyDescent="0.2">
      <c r="A72" s="76" t="s">
        <v>135</v>
      </c>
      <c r="B72" s="74">
        <v>4</v>
      </c>
      <c r="C72" s="45">
        <f t="shared" si="5"/>
        <v>3.5105458350979779</v>
      </c>
      <c r="D72" s="45">
        <f t="shared" si="6"/>
        <v>3.7092868697483676</v>
      </c>
    </row>
    <row r="73" spans="1:4" x14ac:dyDescent="0.2">
      <c r="A73" s="76" t="s">
        <v>137</v>
      </c>
      <c r="B73" s="74">
        <v>5</v>
      </c>
      <c r="C73" s="45">
        <f t="shared" si="5"/>
        <v>6.5823739903319636</v>
      </c>
      <c r="D73" s="45">
        <f t="shared" si="6"/>
        <v>6.5892912774636523</v>
      </c>
    </row>
    <row r="74" spans="1:4" x14ac:dyDescent="0.2">
      <c r="A74" s="76" t="s">
        <v>138</v>
      </c>
      <c r="B74" s="74">
        <v>6</v>
      </c>
      <c r="C74" s="45">
        <f t="shared" si="5"/>
        <v>5.2470763215123304</v>
      </c>
      <c r="D74" s="45">
        <f t="shared" si="6"/>
        <v>5.2771047144323102</v>
      </c>
    </row>
    <row r="75" spans="1:4" x14ac:dyDescent="0.2">
      <c r="A75" s="76" t="s">
        <v>139</v>
      </c>
      <c r="B75" s="74">
        <v>7</v>
      </c>
      <c r="C75" s="45">
        <f>(C12/$C$5)*100</f>
        <v>3.0918174004569781</v>
      </c>
      <c r="D75" s="45">
        <f t="shared" si="6"/>
        <v>3.1142858184596576</v>
      </c>
    </row>
    <row r="76" spans="1:4" x14ac:dyDescent="0.2">
      <c r="A76" s="76" t="s">
        <v>280</v>
      </c>
      <c r="B76" s="74">
        <v>8</v>
      </c>
      <c r="C76" s="45">
        <f t="shared" ref="C76:C78" si="7">(C13/$C$5)*100</f>
        <v>9.1821824636000693E-2</v>
      </c>
      <c r="D76" s="45">
        <f t="shared" si="6"/>
        <v>9.4798288283215154E-2</v>
      </c>
    </row>
    <row r="77" spans="1:4" x14ac:dyDescent="0.2">
      <c r="A77" s="76" t="s">
        <v>281</v>
      </c>
      <c r="B77" s="74">
        <v>9</v>
      </c>
      <c r="C77" s="45">
        <f t="shared" si="7"/>
        <v>1.9982407855411399</v>
      </c>
      <c r="D77" s="45">
        <f t="shared" si="6"/>
        <v>1.3774110263373143</v>
      </c>
    </row>
    <row r="78" spans="1:4" x14ac:dyDescent="0.2">
      <c r="A78" s="76" t="s">
        <v>282</v>
      </c>
      <c r="B78" s="74">
        <v>10</v>
      </c>
      <c r="C78" s="45">
        <f t="shared" si="7"/>
        <v>8.462247877097917E-2</v>
      </c>
      <c r="D78" s="45">
        <f t="shared" si="6"/>
        <v>9.5851602597473107E-2</v>
      </c>
    </row>
    <row r="79" spans="1:4" x14ac:dyDescent="0.2">
      <c r="B79" s="77"/>
      <c r="C79" s="56"/>
    </row>
    <row r="80" spans="1:4" x14ac:dyDescent="0.2">
      <c r="A80" s="39" t="s">
        <v>144</v>
      </c>
      <c r="B80" s="77"/>
      <c r="C80" s="56"/>
    </row>
    <row r="81" spans="1:4" x14ac:dyDescent="0.2">
      <c r="B81" s="77"/>
      <c r="C81" s="56"/>
    </row>
    <row r="83" spans="1:4" ht="15.75" x14ac:dyDescent="0.25">
      <c r="A83" s="62" t="s">
        <v>321</v>
      </c>
    </row>
    <row r="85" spans="1:4" x14ac:dyDescent="0.2">
      <c r="A85" s="97" t="s">
        <v>21</v>
      </c>
      <c r="B85" s="98"/>
      <c r="C85" s="73" t="s">
        <v>22</v>
      </c>
      <c r="D85" s="73" t="s">
        <v>299</v>
      </c>
    </row>
    <row r="86" spans="1:4" x14ac:dyDescent="0.2">
      <c r="A86" s="74" t="s">
        <v>13</v>
      </c>
      <c r="B86" s="74" t="s">
        <v>14</v>
      </c>
      <c r="C86" s="74">
        <v>1</v>
      </c>
      <c r="D86" s="74">
        <v>2</v>
      </c>
    </row>
    <row r="87" spans="1:4" x14ac:dyDescent="0.2">
      <c r="A87" s="76" t="s">
        <v>23</v>
      </c>
      <c r="B87" s="74">
        <v>1</v>
      </c>
      <c r="C87" s="45">
        <f>(C6/$C$7)*100</f>
        <v>8.626967676880847</v>
      </c>
      <c r="D87" s="45">
        <f>(D6/$D$7)*100</f>
        <v>8.9215132693393571</v>
      </c>
    </row>
    <row r="88" spans="1:4" x14ac:dyDescent="0.2">
      <c r="A88" s="76" t="s">
        <v>132</v>
      </c>
      <c r="B88" s="74">
        <v>2</v>
      </c>
      <c r="C88" s="45">
        <f>(C8/$C$7)*100</f>
        <v>1.9545123522491739</v>
      </c>
      <c r="D88" s="45">
        <f t="shared" ref="D88:D95" si="8">(D7/$D$7)*100</f>
        <v>100</v>
      </c>
    </row>
    <row r="89" spans="1:4" x14ac:dyDescent="0.2">
      <c r="A89" s="76" t="s">
        <v>135</v>
      </c>
      <c r="B89" s="74">
        <v>3</v>
      </c>
      <c r="C89" s="45">
        <f>(C9/$C$7)*100</f>
        <v>4.8895860175900507</v>
      </c>
      <c r="D89" s="45">
        <f t="shared" si="8"/>
        <v>2.2219085262563523</v>
      </c>
    </row>
    <row r="90" spans="1:4" x14ac:dyDescent="0.2">
      <c r="A90" s="76" t="s">
        <v>137</v>
      </c>
      <c r="B90" s="74">
        <v>4</v>
      </c>
      <c r="C90" s="45">
        <f>(C10/$C$7)*100</f>
        <v>9.1681138311579193</v>
      </c>
      <c r="D90" s="45">
        <f t="shared" si="8"/>
        <v>5.1699604743082999</v>
      </c>
    </row>
    <row r="91" spans="1:4" x14ac:dyDescent="0.2">
      <c r="A91" s="76" t="s">
        <v>138</v>
      </c>
      <c r="B91" s="74">
        <v>5</v>
      </c>
      <c r="C91" s="45">
        <f>(C11/$C$7)*100</f>
        <v>7.3082740462719178</v>
      </c>
      <c r="D91" s="45">
        <f t="shared" si="8"/>
        <v>9.1840767927724443</v>
      </c>
    </row>
    <row r="92" spans="1:4" x14ac:dyDescent="0.2">
      <c r="A92" s="76" t="s">
        <v>139</v>
      </c>
      <c r="B92" s="74">
        <v>6</v>
      </c>
      <c r="C92" s="45">
        <f>(C12/$C$7)*100</f>
        <v>4.3063693910705281</v>
      </c>
      <c r="D92" s="45">
        <f t="shared" si="8"/>
        <v>7.3551665725578763</v>
      </c>
    </row>
    <row r="93" spans="1:4" x14ac:dyDescent="0.2">
      <c r="A93" s="76" t="s">
        <v>280</v>
      </c>
      <c r="B93" s="74">
        <v>7</v>
      </c>
      <c r="C93" s="45">
        <f t="shared" ref="C93:C95" si="9">(C13/$C$7)*100</f>
        <v>0.1278919948462271</v>
      </c>
      <c r="D93" s="45">
        <f t="shared" si="8"/>
        <v>4.3406549971767365</v>
      </c>
    </row>
    <row r="94" spans="1:4" x14ac:dyDescent="0.2">
      <c r="A94" s="76" t="s">
        <v>281</v>
      </c>
      <c r="B94" s="74">
        <v>8</v>
      </c>
      <c r="C94" s="45">
        <f t="shared" si="9"/>
        <v>2.7832054226653966</v>
      </c>
      <c r="D94" s="45">
        <f t="shared" si="8"/>
        <v>0.13212874082439299</v>
      </c>
    </row>
    <row r="95" spans="1:4" x14ac:dyDescent="0.2">
      <c r="A95" s="76" t="s">
        <v>282</v>
      </c>
      <c r="B95" s="74">
        <v>9</v>
      </c>
      <c r="C95" s="45">
        <f t="shared" si="9"/>
        <v>0.11786454540361885</v>
      </c>
      <c r="D95" s="45">
        <f t="shared" si="8"/>
        <v>1.9198193111236588</v>
      </c>
    </row>
    <row r="97" spans="1:1" x14ac:dyDescent="0.2">
      <c r="A97" s="39" t="s">
        <v>144</v>
      </c>
    </row>
  </sheetData>
  <mergeCells count="15">
    <mergeCell ref="A3:B3"/>
    <mergeCell ref="A33:B33"/>
    <mergeCell ref="A50:B50"/>
    <mergeCell ref="A67:B67"/>
    <mergeCell ref="A85:B85"/>
    <mergeCell ref="B26:C26"/>
    <mergeCell ref="B27:C27"/>
    <mergeCell ref="B28:C28"/>
    <mergeCell ref="B19:C19"/>
    <mergeCell ref="B20:C20"/>
    <mergeCell ref="B21:C21"/>
    <mergeCell ref="B22:C22"/>
    <mergeCell ref="B23:C23"/>
    <mergeCell ref="B24:C24"/>
    <mergeCell ref="B25:C25"/>
  </mergeCells>
  <conditionalFormatting sqref="C5:C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{76E3D492-34AA-4E7A-897B-E8EB5EE2E334}</x14:id>
        </ext>
      </extLst>
    </cfRule>
  </conditionalFormatting>
  <conditionalFormatting sqref="D5:D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{80B1F21A-A59C-4BAD-8C78-43F1A11AEF59}</x14:id>
        </ext>
      </extLst>
    </cfRule>
  </conditionalFormatting>
  <hyperlinks>
    <hyperlink ref="B25" r:id="rId1" xr:uid="{441C87A7-085B-4342-B54B-2E5D8CA83965}"/>
    <hyperlink ref="B22" r:id="rId2" xr:uid="{247DA41A-D4E4-49F7-9C51-9BB798E259C7}"/>
    <hyperlink ref="B24" r:id="rId3" xr:uid="{46665FEC-4E4D-4DD8-A177-68A8E644635C}"/>
    <hyperlink ref="B19" r:id="rId4" xr:uid="{37FAF180-E237-4B2E-9694-BCEB7928CFEA}"/>
    <hyperlink ref="D19" r:id="rId5" xr:uid="{9A73FC77-A311-47CC-A9D0-14F69B169A5C}"/>
    <hyperlink ref="B20" r:id="rId6" xr:uid="{6A752588-4EEF-4FBB-AA9B-09B452BC5D3B}"/>
    <hyperlink ref="B21" r:id="rId7" xr:uid="{1684DC6A-E6ED-40D3-9C1D-1482D0D8D9FB}"/>
    <hyperlink ref="D21" r:id="rId8" xr:uid="{BCF24661-1ACD-4B58-97FA-A55E4E88240E}"/>
    <hyperlink ref="B23" r:id="rId9" xr:uid="{9B988E69-2CD7-4FBA-8DBD-E4C91F2AD43D}"/>
    <hyperlink ref="D22" r:id="rId10" xr:uid="{77A01448-298F-4538-B962-6D85478412BF}"/>
    <hyperlink ref="D24" r:id="rId11" xr:uid="{8F4871F1-C20D-4444-9245-67BFD9579EB1}"/>
    <hyperlink ref="D25" r:id="rId12" xr:uid="{3D2A6128-29F6-4BEA-BF4E-EE8B13804095}"/>
    <hyperlink ref="B26" r:id="rId13" xr:uid="{A62B8CA9-AFB0-4DC7-A36C-A2EAFDCB7405}"/>
    <hyperlink ref="B28" r:id="rId14" xr:uid="{EDB72E22-FD10-4AE6-846C-EFA084CEE17D}"/>
    <hyperlink ref="D28" r:id="rId15" xr:uid="{F1C5DE15-2639-4C2A-8257-2677DA6909DF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E3D492-34AA-4E7A-897B-E8EB5EE2E3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C5:C15</xm:sqref>
        </x14:conditionalFormatting>
        <x14:conditionalFormatting xmlns:xm="http://schemas.microsoft.com/office/excel/2006/main">
          <x14:cfRule type="dataBar" id="{80B1F21A-A59C-4BAD-8C78-43F1A11AE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78"/>
  <sheetViews>
    <sheetView topLeftCell="A80" zoomScaleNormal="100" workbookViewId="0">
      <selection activeCell="K110" sqref="K110"/>
    </sheetView>
  </sheetViews>
  <sheetFormatPr defaultColWidth="10.75" defaultRowHeight="15" x14ac:dyDescent="0.2"/>
  <cols>
    <col min="1" max="1" width="44.25" style="6" customWidth="1"/>
    <col min="2" max="2" width="11.375" style="6" customWidth="1"/>
    <col min="3" max="3" width="10.875" style="6" customWidth="1"/>
    <col min="4" max="5" width="10.75" style="6"/>
    <col min="6" max="6" width="13.25" style="6" customWidth="1"/>
    <col min="7" max="7" width="12.75" style="6" customWidth="1"/>
    <col min="8" max="14" width="10.75" style="6"/>
    <col min="15" max="15" width="18.75" style="6" customWidth="1"/>
    <col min="16" max="21" width="10.75" style="6"/>
    <col min="22" max="22" width="24.25" style="6" customWidth="1"/>
    <col min="23" max="23" width="29.125" style="6" customWidth="1"/>
    <col min="24" max="24" width="13.875" style="6" customWidth="1"/>
    <col min="25" max="25" width="26.125" style="6" customWidth="1"/>
    <col min="26" max="26" width="10.75" style="6"/>
    <col min="27" max="27" width="20.875" style="6" customWidth="1"/>
    <col min="28" max="28" width="18.25" style="6" customWidth="1"/>
    <col min="29" max="16384" width="10.75" style="6"/>
  </cols>
  <sheetData>
    <row r="1" spans="1:28" ht="15.75" x14ac:dyDescent="0.25">
      <c r="A1" s="8" t="s">
        <v>298</v>
      </c>
    </row>
    <row r="3" spans="1:28" ht="63.75" x14ac:dyDescent="0.2">
      <c r="A3" s="95" t="s">
        <v>146</v>
      </c>
      <c r="B3" s="96"/>
      <c r="C3" s="21">
        <v>2008</v>
      </c>
      <c r="D3" s="21">
        <v>2009</v>
      </c>
      <c r="E3" s="21">
        <v>2010</v>
      </c>
      <c r="F3" s="21">
        <v>2011</v>
      </c>
      <c r="G3" s="21">
        <v>2012</v>
      </c>
      <c r="H3" s="21">
        <v>2013</v>
      </c>
      <c r="I3" s="21">
        <v>2014</v>
      </c>
      <c r="J3" s="21">
        <v>2015</v>
      </c>
      <c r="K3" s="21">
        <v>2016</v>
      </c>
      <c r="L3" s="21">
        <v>2017</v>
      </c>
      <c r="M3" s="21">
        <v>2018</v>
      </c>
      <c r="N3" s="21">
        <v>2019</v>
      </c>
      <c r="O3" s="58" t="s">
        <v>188</v>
      </c>
      <c r="P3" s="2" t="s">
        <v>114</v>
      </c>
      <c r="Q3" s="2" t="s">
        <v>115</v>
      </c>
      <c r="R3" s="2" t="s">
        <v>111</v>
      </c>
      <c r="S3" s="2" t="s">
        <v>113</v>
      </c>
      <c r="T3" s="2" t="s">
        <v>116</v>
      </c>
      <c r="U3" s="2" t="s">
        <v>117</v>
      </c>
      <c r="V3" s="2" t="s">
        <v>118</v>
      </c>
      <c r="W3" s="2" t="s">
        <v>231</v>
      </c>
      <c r="X3" s="2" t="s">
        <v>125</v>
      </c>
      <c r="Y3" s="2" t="s">
        <v>127</v>
      </c>
      <c r="Z3" s="2" t="s">
        <v>128</v>
      </c>
      <c r="AA3" s="2" t="s">
        <v>130</v>
      </c>
      <c r="AB3" s="2" t="s">
        <v>131</v>
      </c>
    </row>
    <row r="4" spans="1:28" x14ac:dyDescent="0.2">
      <c r="A4" s="16" t="s">
        <v>13</v>
      </c>
      <c r="B4" s="16" t="s">
        <v>14</v>
      </c>
      <c r="C4" s="16">
        <v>1</v>
      </c>
      <c r="D4" s="16">
        <v>2</v>
      </c>
      <c r="E4" s="16">
        <v>3</v>
      </c>
      <c r="F4" s="16">
        <v>4</v>
      </c>
      <c r="G4" s="16">
        <v>5</v>
      </c>
      <c r="H4" s="16">
        <v>6</v>
      </c>
      <c r="I4" s="16">
        <v>7</v>
      </c>
      <c r="J4" s="16">
        <v>8</v>
      </c>
      <c r="K4" s="16">
        <v>9</v>
      </c>
      <c r="L4" s="16">
        <v>10</v>
      </c>
      <c r="M4" s="16">
        <v>11</v>
      </c>
      <c r="N4" s="16">
        <v>12</v>
      </c>
      <c r="O4" s="16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15">
        <v>23</v>
      </c>
      <c r="Z4" s="15">
        <v>24</v>
      </c>
      <c r="AA4" s="15">
        <v>25</v>
      </c>
      <c r="AB4" s="15">
        <v>26</v>
      </c>
    </row>
    <row r="5" spans="1:28" ht="30" x14ac:dyDescent="0.2">
      <c r="A5" s="13" t="s">
        <v>157</v>
      </c>
      <c r="B5" s="16">
        <v>1</v>
      </c>
      <c r="C5" s="45">
        <v>3994</v>
      </c>
      <c r="D5" s="45">
        <v>3994</v>
      </c>
      <c r="E5" s="45">
        <v>3992</v>
      </c>
      <c r="F5" s="45">
        <v>3979</v>
      </c>
      <c r="G5" s="45">
        <v>4098</v>
      </c>
      <c r="H5" s="45">
        <v>4117</v>
      </c>
      <c r="I5" s="45">
        <v>4213</v>
      </c>
      <c r="J5" s="45">
        <v>4316</v>
      </c>
      <c r="K5" s="45">
        <v>4375</v>
      </c>
      <c r="L5" s="45">
        <v>4377</v>
      </c>
      <c r="M5" s="45">
        <v>4482</v>
      </c>
      <c r="N5" s="103" t="s">
        <v>6</v>
      </c>
      <c r="O5" s="45">
        <f>AVERAGE(C5:M5)</f>
        <v>4176.090909090909</v>
      </c>
      <c r="P5" s="42">
        <f xml:space="preserve"> QUARTILE(C5:M5,0)</f>
        <v>3979</v>
      </c>
      <c r="Q5" s="42">
        <f>QUARTILE(C5:M5, 4)</f>
        <v>4482</v>
      </c>
      <c r="R5" s="42">
        <f>Q5-P5</f>
        <v>503</v>
      </c>
      <c r="S5" s="42">
        <f>QUARTILE(C5:M5,2)</f>
        <v>4117</v>
      </c>
      <c r="T5" s="42">
        <f>QUARTILE(C5:M5,1)</f>
        <v>3994</v>
      </c>
      <c r="U5" s="42">
        <f>QUARTILE(C5:M5,3)</f>
        <v>4345.5</v>
      </c>
      <c r="V5" s="42" t="s">
        <v>235</v>
      </c>
      <c r="W5" s="42">
        <f>SUM(E24:E34)/COUNTA(E24:E34)</f>
        <v>160.46280991735537</v>
      </c>
      <c r="X5" s="42">
        <f>SUM(F66:F76)/COUNTA(F66:F76)</f>
        <v>75.251735537190086</v>
      </c>
      <c r="Y5" s="42">
        <f>SQRT(X5)</f>
        <v>8.6747758205725454</v>
      </c>
      <c r="Z5" s="42">
        <f>R5/O5*100</f>
        <v>12.044756949735508</v>
      </c>
      <c r="AA5" s="42">
        <f>W5/O5*100</f>
        <v>3.842416590310445</v>
      </c>
      <c r="AB5" s="42">
        <f>Y5/O5*100</f>
        <v>0.20772478400047459</v>
      </c>
    </row>
    <row r="6" spans="1:28" ht="30" x14ac:dyDescent="0.2">
      <c r="A6" s="13" t="s">
        <v>147</v>
      </c>
      <c r="B6" s="16">
        <v>2</v>
      </c>
      <c r="C6" s="45">
        <v>488</v>
      </c>
      <c r="D6" s="45">
        <v>494</v>
      </c>
      <c r="E6" s="45">
        <v>506</v>
      </c>
      <c r="F6" s="45">
        <v>512</v>
      </c>
      <c r="G6" s="45">
        <v>519</v>
      </c>
      <c r="H6" s="45">
        <v>522</v>
      </c>
      <c r="I6" s="45">
        <v>526</v>
      </c>
      <c r="J6" s="45">
        <v>535</v>
      </c>
      <c r="K6" s="45">
        <v>548</v>
      </c>
      <c r="L6" s="45">
        <v>547</v>
      </c>
      <c r="M6" s="45">
        <v>556</v>
      </c>
      <c r="N6" s="104"/>
      <c r="O6" s="45">
        <f t="shared" ref="O6:O15" si="0">AVERAGE(C6:M6)</f>
        <v>523</v>
      </c>
      <c r="P6" s="42">
        <f t="shared" ref="P6:P15" si="1" xml:space="preserve"> QUARTILE(C6:M6,0)</f>
        <v>488</v>
      </c>
      <c r="Q6" s="42">
        <f t="shared" ref="Q6:Q15" si="2">QUARTILE(C6:M6, 4)</f>
        <v>556</v>
      </c>
      <c r="R6" s="42">
        <f t="shared" ref="R6:R15" si="3">Q6-P6</f>
        <v>68</v>
      </c>
      <c r="S6" s="42">
        <f t="shared" ref="S6:S15" si="4">QUARTILE(C6:M6,2)</f>
        <v>522</v>
      </c>
      <c r="T6" s="42">
        <f t="shared" ref="T6:T15" si="5">QUARTILE(C6:M6,1)</f>
        <v>509</v>
      </c>
      <c r="U6" s="42">
        <f t="shared" ref="U6:U15" si="6">QUARTILE(C6:M6,3)</f>
        <v>541</v>
      </c>
      <c r="V6" s="42" t="s">
        <v>236</v>
      </c>
      <c r="W6" s="42">
        <f>SUM(E45:E55)/COUNTA(E45:E55)</f>
        <v>17.636363636363637</v>
      </c>
      <c r="X6" s="42">
        <f>SUM(F45:F55)/COUNTA(F45:F55)</f>
        <v>448.72727272727275</v>
      </c>
      <c r="Y6" s="42">
        <f t="shared" ref="Y6:Y9" si="7">SQRT(X6)</f>
        <v>21.183183725003964</v>
      </c>
      <c r="Z6" s="42">
        <f>R6/O6*100</f>
        <v>13.001912045889103</v>
      </c>
      <c r="AA6" s="42">
        <f>W6/O6*100</f>
        <v>3.3721536589605425</v>
      </c>
      <c r="AB6" s="42">
        <f>Y6/O6*100</f>
        <v>4.0503219359472205</v>
      </c>
    </row>
    <row r="7" spans="1:28" ht="30.4" customHeight="1" x14ac:dyDescent="0.2">
      <c r="A7" s="13" t="s">
        <v>148</v>
      </c>
      <c r="B7" s="16">
        <v>3</v>
      </c>
      <c r="C7" s="45">
        <v>65.5</v>
      </c>
      <c r="D7" s="45">
        <v>62.8</v>
      </c>
      <c r="E7" s="45">
        <v>63</v>
      </c>
      <c r="F7" s="45">
        <v>52</v>
      </c>
      <c r="G7" s="45">
        <v>44.6</v>
      </c>
      <c r="H7" s="45">
        <v>40.700000000000003</v>
      </c>
      <c r="I7" s="45">
        <v>40</v>
      </c>
      <c r="J7" s="45">
        <v>45.3</v>
      </c>
      <c r="K7" s="45">
        <v>47.4</v>
      </c>
      <c r="L7" s="45">
        <v>46.5</v>
      </c>
      <c r="M7" s="45">
        <v>50.9</v>
      </c>
      <c r="N7" s="104"/>
      <c r="O7" s="45">
        <f t="shared" si="0"/>
        <v>50.790909090909096</v>
      </c>
      <c r="P7" s="42">
        <f t="shared" si="1"/>
        <v>40</v>
      </c>
      <c r="Q7" s="42">
        <f t="shared" si="2"/>
        <v>65.5</v>
      </c>
      <c r="R7" s="42">
        <f t="shared" si="3"/>
        <v>25.5</v>
      </c>
      <c r="S7" s="42">
        <f t="shared" si="4"/>
        <v>47.4</v>
      </c>
      <c r="T7" s="42">
        <f t="shared" si="5"/>
        <v>44.95</v>
      </c>
      <c r="U7" s="42">
        <f t="shared" si="6"/>
        <v>57.4</v>
      </c>
      <c r="V7" s="42" t="s">
        <v>238</v>
      </c>
      <c r="W7" s="42">
        <f>SUM(E66:E76)/COUNTA(E66:E76)</f>
        <v>7.3173553719008275</v>
      </c>
      <c r="X7" s="42">
        <f>SUM(F286:F297)/COUNTA(C7:N7)</f>
        <v>690.94901199999993</v>
      </c>
      <c r="Y7" s="42">
        <f t="shared" si="7"/>
        <v>26.285909000831605</v>
      </c>
      <c r="Z7" s="42">
        <f>R7/O7*100</f>
        <v>50.205834974046894</v>
      </c>
      <c r="AA7" s="42">
        <f>W7/O7*100</f>
        <v>14.406821029337586</v>
      </c>
      <c r="AB7" s="42">
        <f>Y7/O7*100</f>
        <v>51.753176840728052</v>
      </c>
    </row>
    <row r="8" spans="1:28" x14ac:dyDescent="0.2">
      <c r="A8" s="13" t="s">
        <v>149</v>
      </c>
      <c r="B8" s="16">
        <v>4</v>
      </c>
      <c r="C8" s="45">
        <v>4.3</v>
      </c>
      <c r="D8" s="45">
        <v>4</v>
      </c>
      <c r="E8" s="45">
        <v>3.6</v>
      </c>
      <c r="F8" s="45">
        <v>3.4</v>
      </c>
      <c r="G8" s="45">
        <v>3.3</v>
      </c>
      <c r="H8" s="45">
        <v>3.1</v>
      </c>
      <c r="I8" s="45">
        <v>2.7</v>
      </c>
      <c r="J8" s="45">
        <v>2.6</v>
      </c>
      <c r="K8" s="45">
        <v>2.2999999999999998</v>
      </c>
      <c r="L8" s="45">
        <v>2.2000000000000002</v>
      </c>
      <c r="M8" s="45">
        <v>2.2999999999999998</v>
      </c>
      <c r="N8" s="104"/>
      <c r="O8" s="45">
        <f t="shared" si="0"/>
        <v>3.0727272727272732</v>
      </c>
      <c r="P8" s="42">
        <f t="shared" si="1"/>
        <v>2.2000000000000002</v>
      </c>
      <c r="Q8" s="42">
        <f t="shared" si="2"/>
        <v>4.3</v>
      </c>
      <c r="R8" s="42">
        <f t="shared" si="3"/>
        <v>2.0999999999999996</v>
      </c>
      <c r="S8" s="42">
        <f t="shared" si="4"/>
        <v>3.1</v>
      </c>
      <c r="T8" s="42">
        <f t="shared" si="5"/>
        <v>2.4500000000000002</v>
      </c>
      <c r="U8" s="42">
        <f t="shared" si="6"/>
        <v>3.5</v>
      </c>
      <c r="V8" s="42" t="s">
        <v>240</v>
      </c>
      <c r="W8" s="42">
        <f>SUM(E87:E97)/COUNTA(E87:E97)</f>
        <v>47.718181818181826</v>
      </c>
      <c r="X8" s="42">
        <f>SUM(F306:F317)/COUNTA(C8:N8)</f>
        <v>212.12725472618774</v>
      </c>
      <c r="Y8" s="42">
        <f t="shared" si="7"/>
        <v>14.564589068222547</v>
      </c>
      <c r="Z8" s="42">
        <f>R8/O8*100</f>
        <v>68.343195266272176</v>
      </c>
      <c r="AA8" s="42">
        <f>W8/O8*100</f>
        <v>1552.9585798816568</v>
      </c>
      <c r="AB8" s="42">
        <f>Y8/O8*100</f>
        <v>473.99550222026033</v>
      </c>
    </row>
    <row r="9" spans="1:28" ht="30" x14ac:dyDescent="0.2">
      <c r="A9" s="13" t="s">
        <v>150</v>
      </c>
      <c r="B9" s="16">
        <v>5</v>
      </c>
      <c r="C9" s="45">
        <v>124</v>
      </c>
      <c r="D9" s="45">
        <v>108</v>
      </c>
      <c r="E9" s="45">
        <v>134</v>
      </c>
      <c r="F9" s="45">
        <v>144</v>
      </c>
      <c r="G9" s="45">
        <v>148</v>
      </c>
      <c r="H9" s="45">
        <v>154</v>
      </c>
      <c r="I9" s="45">
        <v>168</v>
      </c>
      <c r="J9" s="45">
        <v>178</v>
      </c>
      <c r="K9" s="45">
        <v>184</v>
      </c>
      <c r="L9" s="45">
        <v>176</v>
      </c>
      <c r="M9" s="45">
        <v>179</v>
      </c>
      <c r="N9" s="104"/>
      <c r="O9" s="45">
        <f t="shared" si="0"/>
        <v>154.27272727272728</v>
      </c>
      <c r="P9" s="42">
        <f t="shared" si="1"/>
        <v>108</v>
      </c>
      <c r="Q9" s="42">
        <f t="shared" si="2"/>
        <v>184</v>
      </c>
      <c r="R9" s="42">
        <f t="shared" si="3"/>
        <v>76</v>
      </c>
      <c r="S9" s="42">
        <f t="shared" si="4"/>
        <v>154</v>
      </c>
      <c r="T9" s="42">
        <f t="shared" si="5"/>
        <v>139</v>
      </c>
      <c r="U9" s="42">
        <f t="shared" si="6"/>
        <v>177</v>
      </c>
      <c r="V9" s="42" t="s">
        <v>242</v>
      </c>
      <c r="W9" s="42">
        <f>SUM(E108:E118)/COUNTA(E108:E118)</f>
        <v>20.66115702479339</v>
      </c>
      <c r="X9" s="42">
        <f>SUM(F108:F118)/COUNTA(F108:F118)</f>
        <v>575.65289256198355</v>
      </c>
      <c r="Y9" s="42">
        <f t="shared" si="7"/>
        <v>23.992767505270908</v>
      </c>
      <c r="Z9" s="42">
        <f t="shared" ref="Z9:Z15" si="8">R9/O9*100</f>
        <v>49.26340601060695</v>
      </c>
      <c r="AA9" s="42">
        <f t="shared" ref="AA9:AA15" si="9">W9/O9*100</f>
        <v>13.392617988964483</v>
      </c>
      <c r="AB9" s="42">
        <f t="shared" ref="AB9:AB15" si="10">Y9/O9*100</f>
        <v>15.552176933292868</v>
      </c>
    </row>
    <row r="10" spans="1:28" ht="30" x14ac:dyDescent="0.2">
      <c r="A10" s="13" t="s">
        <v>151</v>
      </c>
      <c r="B10" s="16">
        <v>6</v>
      </c>
      <c r="C10" s="45">
        <v>460</v>
      </c>
      <c r="D10" s="45">
        <v>408</v>
      </c>
      <c r="E10" s="45">
        <v>461</v>
      </c>
      <c r="F10" s="45">
        <v>520</v>
      </c>
      <c r="G10" s="45">
        <v>547</v>
      </c>
      <c r="H10" s="45">
        <v>536</v>
      </c>
      <c r="I10" s="45">
        <v>541</v>
      </c>
      <c r="J10" s="45">
        <v>565</v>
      </c>
      <c r="K10" s="45">
        <v>584</v>
      </c>
      <c r="L10" s="45">
        <v>556</v>
      </c>
      <c r="M10" s="45">
        <v>575</v>
      </c>
      <c r="N10" s="104"/>
      <c r="O10" s="45">
        <f t="shared" si="0"/>
        <v>523</v>
      </c>
      <c r="P10" s="42">
        <f t="shared" si="1"/>
        <v>408</v>
      </c>
      <c r="Q10" s="42">
        <f t="shared" si="2"/>
        <v>584</v>
      </c>
      <c r="R10" s="42">
        <f t="shared" si="3"/>
        <v>176</v>
      </c>
      <c r="S10" s="42">
        <f t="shared" si="4"/>
        <v>541</v>
      </c>
      <c r="T10" s="42">
        <f t="shared" si="5"/>
        <v>490.5</v>
      </c>
      <c r="U10" s="42">
        <f t="shared" si="6"/>
        <v>560.5</v>
      </c>
      <c r="V10" s="42" t="s">
        <v>244</v>
      </c>
      <c r="W10" s="42">
        <f>SUM(E129:E139)/COUNTA(E129:E139)</f>
        <v>44.18181818181818</v>
      </c>
      <c r="X10" s="42">
        <f>SUM(F129:F139)/COUNTA(F129:F139)</f>
        <v>2854</v>
      </c>
      <c r="Y10" s="42">
        <f t="shared" ref="Y10:Y15" si="11">SQRT(X10)</f>
        <v>53.422841556772326</v>
      </c>
      <c r="Z10" s="42">
        <f t="shared" si="8"/>
        <v>33.652007648183556</v>
      </c>
      <c r="AA10" s="42">
        <f t="shared" si="9"/>
        <v>8.4477663827568215</v>
      </c>
      <c r="AB10" s="42">
        <f t="shared" si="10"/>
        <v>10.214692458273868</v>
      </c>
    </row>
    <row r="11" spans="1:28" ht="30" x14ac:dyDescent="0.2">
      <c r="A11" s="13" t="s">
        <v>152</v>
      </c>
      <c r="B11" s="16">
        <v>7</v>
      </c>
      <c r="C11" s="45">
        <v>245</v>
      </c>
      <c r="D11" s="45">
        <v>264</v>
      </c>
      <c r="E11" s="45">
        <v>330</v>
      </c>
      <c r="F11" s="45">
        <v>343</v>
      </c>
      <c r="G11" s="45">
        <v>388</v>
      </c>
      <c r="H11" s="45">
        <v>448</v>
      </c>
      <c r="I11" s="45">
        <v>524</v>
      </c>
      <c r="J11" s="45">
        <v>560</v>
      </c>
      <c r="K11" s="45">
        <v>538</v>
      </c>
      <c r="L11" s="45">
        <v>569</v>
      </c>
      <c r="M11" s="45">
        <v>666</v>
      </c>
      <c r="N11" s="104"/>
      <c r="O11" s="45">
        <f t="shared" si="0"/>
        <v>443.18181818181819</v>
      </c>
      <c r="P11" s="42">
        <f t="shared" si="1"/>
        <v>245</v>
      </c>
      <c r="Q11" s="42">
        <f t="shared" si="2"/>
        <v>666</v>
      </c>
      <c r="R11" s="42">
        <f t="shared" si="3"/>
        <v>421</v>
      </c>
      <c r="S11" s="42">
        <f t="shared" si="4"/>
        <v>448</v>
      </c>
      <c r="T11" s="42">
        <f t="shared" si="5"/>
        <v>336.5</v>
      </c>
      <c r="U11" s="42">
        <f t="shared" si="6"/>
        <v>549</v>
      </c>
      <c r="V11" s="42" t="s">
        <v>246</v>
      </c>
      <c r="W11" s="42">
        <f>SUM(E150:E160)/COUNTA(E150:E160)</f>
        <v>117.43801652892559</v>
      </c>
      <c r="X11" s="42">
        <f>SUM(F150:F160)/COUNTA(F150:F160)</f>
        <v>17449.421487603304</v>
      </c>
      <c r="Y11" s="42">
        <f t="shared" si="11"/>
        <v>132.09625841636586</v>
      </c>
      <c r="Z11" s="42">
        <f t="shared" si="8"/>
        <v>94.994871794871798</v>
      </c>
      <c r="AA11" s="42">
        <f t="shared" si="9"/>
        <v>26.498834498834491</v>
      </c>
      <c r="AB11" s="42">
        <f t="shared" si="10"/>
        <v>29.806335232410756</v>
      </c>
    </row>
    <row r="12" spans="1:28" ht="30" x14ac:dyDescent="0.2">
      <c r="A12" s="13" t="s">
        <v>153</v>
      </c>
      <c r="B12" s="16">
        <v>8</v>
      </c>
      <c r="C12" s="45">
        <v>195</v>
      </c>
      <c r="D12" s="45">
        <v>190</v>
      </c>
      <c r="E12" s="45">
        <v>203</v>
      </c>
      <c r="F12" s="45">
        <v>203</v>
      </c>
      <c r="G12" s="45">
        <v>208</v>
      </c>
      <c r="H12" s="45">
        <v>210</v>
      </c>
      <c r="I12" s="45">
        <v>212</v>
      </c>
      <c r="J12" s="45">
        <v>215</v>
      </c>
      <c r="K12" s="45">
        <v>200</v>
      </c>
      <c r="L12" s="45">
        <v>192</v>
      </c>
      <c r="M12" s="45">
        <v>188</v>
      </c>
      <c r="N12" s="104"/>
      <c r="O12" s="45">
        <f t="shared" si="0"/>
        <v>201.45454545454547</v>
      </c>
      <c r="P12" s="42">
        <f t="shared" si="1"/>
        <v>188</v>
      </c>
      <c r="Q12" s="42">
        <f t="shared" si="2"/>
        <v>215</v>
      </c>
      <c r="R12" s="42">
        <f t="shared" si="3"/>
        <v>27</v>
      </c>
      <c r="S12" s="42">
        <f t="shared" si="4"/>
        <v>203</v>
      </c>
      <c r="T12" s="42">
        <f t="shared" si="5"/>
        <v>193.5</v>
      </c>
      <c r="U12" s="42">
        <f t="shared" si="6"/>
        <v>209</v>
      </c>
      <c r="V12" s="42" t="s">
        <v>248</v>
      </c>
      <c r="W12" s="42">
        <f>SUM(E171:E181)/COUNTA(E171:E181)</f>
        <v>7.6859504132231393</v>
      </c>
      <c r="X12" s="42">
        <f>SUM(F171:F181)/COUNTA(F171:F181)</f>
        <v>78.247933884297538</v>
      </c>
      <c r="Y12" s="42">
        <f t="shared" si="11"/>
        <v>8.8457862219419212</v>
      </c>
      <c r="Z12" s="42">
        <f t="shared" si="8"/>
        <v>13.402527075812273</v>
      </c>
      <c r="AA12" s="42">
        <f t="shared" si="9"/>
        <v>3.8152280932064317</v>
      </c>
      <c r="AB12" s="42">
        <f t="shared" si="10"/>
        <v>4.3909588646823616</v>
      </c>
    </row>
    <row r="13" spans="1:28" ht="30" x14ac:dyDescent="0.2">
      <c r="A13" s="13" t="s">
        <v>154</v>
      </c>
      <c r="B13" s="16">
        <v>9</v>
      </c>
      <c r="C13" s="45">
        <v>106</v>
      </c>
      <c r="D13" s="45">
        <v>99.2</v>
      </c>
      <c r="E13" s="45">
        <v>99.6</v>
      </c>
      <c r="F13" s="45">
        <v>94.2</v>
      </c>
      <c r="G13" s="45">
        <v>87.6</v>
      </c>
      <c r="H13" s="45">
        <v>83.5</v>
      </c>
      <c r="I13" s="45">
        <v>84.3</v>
      </c>
      <c r="J13" s="45">
        <v>87.8</v>
      </c>
      <c r="K13" s="45">
        <v>90.2</v>
      </c>
      <c r="L13" s="45">
        <v>89</v>
      </c>
      <c r="M13" s="45">
        <v>83.6</v>
      </c>
      <c r="N13" s="104"/>
      <c r="O13" s="45">
        <f t="shared" si="0"/>
        <v>91.36363636363636</v>
      </c>
      <c r="P13" s="42">
        <f t="shared" si="1"/>
        <v>83.5</v>
      </c>
      <c r="Q13" s="42">
        <f t="shared" si="2"/>
        <v>106</v>
      </c>
      <c r="R13" s="42">
        <f t="shared" si="3"/>
        <v>22.5</v>
      </c>
      <c r="S13" s="42">
        <f t="shared" si="4"/>
        <v>89</v>
      </c>
      <c r="T13" s="42">
        <f t="shared" si="5"/>
        <v>85.949999999999989</v>
      </c>
      <c r="U13" s="42">
        <f t="shared" si="6"/>
        <v>96.7</v>
      </c>
      <c r="V13" s="42" t="s">
        <v>250</v>
      </c>
      <c r="W13" s="42">
        <f>SUM(E192:E202)/COUNTA(E192:E202)</f>
        <v>6.0991735537190088</v>
      </c>
      <c r="X13" s="42">
        <f>SUM(F192:F202)/COUNTA(F192:F202)</f>
        <v>50.665950413223165</v>
      </c>
      <c r="Y13" s="42">
        <f t="shared" si="11"/>
        <v>7.1180018553821105</v>
      </c>
      <c r="Z13" s="42">
        <f t="shared" si="8"/>
        <v>24.626865671641792</v>
      </c>
      <c r="AA13" s="42">
        <f t="shared" si="9"/>
        <v>6.6757123473541391</v>
      </c>
      <c r="AB13" s="42">
        <f t="shared" si="10"/>
        <v>7.7908478019107674</v>
      </c>
    </row>
    <row r="14" spans="1:28" ht="30" x14ac:dyDescent="0.2">
      <c r="A14" s="13" t="s">
        <v>155</v>
      </c>
      <c r="B14" s="16">
        <v>10</v>
      </c>
      <c r="C14" s="45">
        <v>100</v>
      </c>
      <c r="D14" s="45">
        <v>113</v>
      </c>
      <c r="E14" s="45">
        <v>117</v>
      </c>
      <c r="F14" s="45">
        <v>134</v>
      </c>
      <c r="G14" s="45">
        <v>146</v>
      </c>
      <c r="H14" s="45">
        <v>148</v>
      </c>
      <c r="I14" s="45">
        <v>154</v>
      </c>
      <c r="J14" s="45">
        <v>173</v>
      </c>
      <c r="K14" s="45">
        <v>222</v>
      </c>
      <c r="L14" s="45">
        <v>226</v>
      </c>
      <c r="M14" s="45">
        <v>231</v>
      </c>
      <c r="N14" s="104"/>
      <c r="O14" s="45">
        <f t="shared" si="0"/>
        <v>160.36363636363637</v>
      </c>
      <c r="P14" s="42">
        <f t="shared" si="1"/>
        <v>100</v>
      </c>
      <c r="Q14" s="42">
        <f t="shared" si="2"/>
        <v>231</v>
      </c>
      <c r="R14" s="42">
        <f t="shared" si="3"/>
        <v>131</v>
      </c>
      <c r="S14" s="42">
        <f t="shared" si="4"/>
        <v>148</v>
      </c>
      <c r="T14" s="42">
        <f t="shared" si="5"/>
        <v>125.5</v>
      </c>
      <c r="U14" s="42">
        <f t="shared" si="6"/>
        <v>197.5</v>
      </c>
      <c r="V14" s="42" t="s">
        <v>252</v>
      </c>
      <c r="W14" s="42">
        <f>SUM(E213:E223)/COUNTA(E213:E223)</f>
        <v>38.280991735537192</v>
      </c>
      <c r="X14" s="42">
        <f>SUM(F213:F223)/COUNTA(F213:F223)</f>
        <v>2010.7768595041323</v>
      </c>
      <c r="Y14" s="42">
        <f t="shared" si="11"/>
        <v>44.84168662644317</v>
      </c>
      <c r="Z14" s="42">
        <f t="shared" si="8"/>
        <v>81.689342403628117</v>
      </c>
      <c r="AA14" s="42">
        <f t="shared" si="9"/>
        <v>23.871366728509585</v>
      </c>
      <c r="AB14" s="42">
        <f t="shared" si="10"/>
        <v>27.962502998348914</v>
      </c>
    </row>
    <row r="15" spans="1:28" ht="30" x14ac:dyDescent="0.2">
      <c r="A15" s="13" t="s">
        <v>156</v>
      </c>
      <c r="B15" s="16">
        <v>11</v>
      </c>
      <c r="C15" s="45">
        <v>135</v>
      </c>
      <c r="D15" s="45">
        <v>114</v>
      </c>
      <c r="E15" s="45">
        <v>123</v>
      </c>
      <c r="F15" s="45">
        <v>141</v>
      </c>
      <c r="G15" s="45">
        <v>158</v>
      </c>
      <c r="H15" s="45">
        <v>155</v>
      </c>
      <c r="I15" s="45">
        <v>152</v>
      </c>
      <c r="J15" s="45">
        <v>152</v>
      </c>
      <c r="K15" s="45">
        <v>158</v>
      </c>
      <c r="L15" s="45">
        <v>145.9</v>
      </c>
      <c r="M15" s="45">
        <v>147.69999999999999</v>
      </c>
      <c r="N15" s="105"/>
      <c r="O15" s="45">
        <f t="shared" si="0"/>
        <v>143.78181818181818</v>
      </c>
      <c r="P15" s="42">
        <f t="shared" si="1"/>
        <v>114</v>
      </c>
      <c r="Q15" s="42">
        <f t="shared" si="2"/>
        <v>158</v>
      </c>
      <c r="R15" s="42">
        <f t="shared" si="3"/>
        <v>44</v>
      </c>
      <c r="S15" s="42">
        <f t="shared" si="4"/>
        <v>147.69999999999999</v>
      </c>
      <c r="T15" s="42">
        <f t="shared" si="5"/>
        <v>138</v>
      </c>
      <c r="U15" s="42">
        <f t="shared" si="6"/>
        <v>153.5</v>
      </c>
      <c r="V15" s="42" t="s">
        <v>254</v>
      </c>
      <c r="W15" s="42">
        <f>SUM(E234:E244)/COUNTA(E234:E244)</f>
        <v>11.295867768595041</v>
      </c>
      <c r="X15" s="42">
        <f>SUM(F234:F244)/COUNTA(F234:F244)</f>
        <v>189.88876033057852</v>
      </c>
      <c r="Y15" s="42">
        <f t="shared" si="11"/>
        <v>13.780013074397953</v>
      </c>
      <c r="Z15" s="42">
        <f t="shared" si="8"/>
        <v>30.60192210419828</v>
      </c>
      <c r="AA15" s="42">
        <f t="shared" si="9"/>
        <v>7.8562560353152167</v>
      </c>
      <c r="AB15" s="42">
        <f t="shared" si="10"/>
        <v>9.5839746976718185</v>
      </c>
    </row>
    <row r="17" spans="1:10" x14ac:dyDescent="0.2">
      <c r="A17" s="6" t="s">
        <v>158</v>
      </c>
    </row>
    <row r="20" spans="1:10" ht="15.75" x14ac:dyDescent="0.25">
      <c r="A20" s="62" t="s">
        <v>234</v>
      </c>
    </row>
    <row r="22" spans="1:10" ht="60" x14ac:dyDescent="0.2">
      <c r="A22" s="83" t="s">
        <v>191</v>
      </c>
      <c r="B22" s="84"/>
      <c r="C22" s="2" t="s">
        <v>121</v>
      </c>
      <c r="D22" s="2" t="s">
        <v>119</v>
      </c>
      <c r="E22" s="2" t="s">
        <v>120</v>
      </c>
      <c r="F22" s="2" t="s">
        <v>124</v>
      </c>
      <c r="G22" s="2" t="s">
        <v>267</v>
      </c>
      <c r="H22" s="2" t="s">
        <v>119</v>
      </c>
      <c r="I22" s="2" t="s">
        <v>120</v>
      </c>
      <c r="J22" s="2" t="s">
        <v>124</v>
      </c>
    </row>
    <row r="23" spans="1:10" x14ac:dyDescent="0.2">
      <c r="A23" s="16" t="s">
        <v>13</v>
      </c>
      <c r="B23" s="15" t="s">
        <v>14</v>
      </c>
      <c r="C23" s="16" t="s">
        <v>143</v>
      </c>
      <c r="D23" s="16">
        <v>1</v>
      </c>
      <c r="E23" s="16">
        <v>2</v>
      </c>
      <c r="F23" s="16">
        <v>3</v>
      </c>
      <c r="G23" s="16">
        <v>4</v>
      </c>
      <c r="H23" s="16">
        <v>5</v>
      </c>
      <c r="I23" s="16">
        <v>6</v>
      </c>
      <c r="J23" s="16">
        <v>7</v>
      </c>
    </row>
    <row r="24" spans="1:10" x14ac:dyDescent="0.2">
      <c r="A24" s="54">
        <v>2008</v>
      </c>
      <c r="B24" s="16">
        <v>1</v>
      </c>
      <c r="C24" s="5">
        <f t="array" ref="C24:C34">TRANSPOSE(C5:M5)</f>
        <v>3994</v>
      </c>
      <c r="D24" s="5">
        <f>C24-$C$36</f>
        <v>-182.09090909090901</v>
      </c>
      <c r="E24" s="5">
        <f>ABS(D24)</f>
        <v>182.09090909090901</v>
      </c>
      <c r="F24" s="5">
        <f>POWER(E24,2)</f>
        <v>33157.099173553688</v>
      </c>
      <c r="G24" s="5" t="s">
        <v>79</v>
      </c>
      <c r="H24" s="5" t="s">
        <v>79</v>
      </c>
      <c r="I24" s="5" t="s">
        <v>79</v>
      </c>
      <c r="J24" s="5" t="s">
        <v>79</v>
      </c>
    </row>
    <row r="25" spans="1:10" x14ac:dyDescent="0.2">
      <c r="A25" s="54">
        <v>2009</v>
      </c>
      <c r="B25" s="16">
        <v>2</v>
      </c>
      <c r="C25" s="5">
        <v>3994</v>
      </c>
      <c r="D25" s="5">
        <f t="shared" ref="D25:D34" si="12">C25-$C$36</f>
        <v>-182.09090909090901</v>
      </c>
      <c r="E25" s="5">
        <f t="shared" ref="E25:E34" si="13">ABS(D25)</f>
        <v>182.09090909090901</v>
      </c>
      <c r="F25" s="5">
        <f t="shared" ref="F25:F34" si="14">POWER(E25,2)</f>
        <v>33157.099173553688</v>
      </c>
      <c r="G25" s="5">
        <f>C25/C24*100</f>
        <v>100</v>
      </c>
      <c r="H25" s="5">
        <f>G25-$G$36</f>
        <v>-1.1594313028231795</v>
      </c>
      <c r="I25" s="5">
        <f t="shared" ref="I25:I34" si="15">ABS(H25)</f>
        <v>1.1594313028231795</v>
      </c>
      <c r="J25" s="5">
        <f t="shared" ref="J25:J34" si="16">POWER(I25,2)</f>
        <v>1.3442809459662555</v>
      </c>
    </row>
    <row r="26" spans="1:10" x14ac:dyDescent="0.2">
      <c r="A26" s="54">
        <v>2010</v>
      </c>
      <c r="B26" s="16">
        <v>3</v>
      </c>
      <c r="C26" s="5">
        <v>3992</v>
      </c>
      <c r="D26" s="5">
        <f t="shared" si="12"/>
        <v>-184.09090909090901</v>
      </c>
      <c r="E26" s="5">
        <f t="shared" si="13"/>
        <v>184.09090909090901</v>
      </c>
      <c r="F26" s="5">
        <f t="shared" si="14"/>
        <v>33889.462809917328</v>
      </c>
      <c r="G26" s="5">
        <f t="shared" ref="G26:G34" si="17">C26/C25*100</f>
        <v>99.949924887330994</v>
      </c>
      <c r="H26" s="5">
        <f t="shared" ref="H26:H34" si="18">G26-$G$36</f>
        <v>-1.2095064154921857</v>
      </c>
      <c r="I26" s="5">
        <f t="shared" si="15"/>
        <v>1.2095064154921857</v>
      </c>
      <c r="J26" s="5">
        <f t="shared" si="16"/>
        <v>1.4629057691167557</v>
      </c>
    </row>
    <row r="27" spans="1:10" x14ac:dyDescent="0.2">
      <c r="A27" s="54">
        <v>2011</v>
      </c>
      <c r="B27" s="16">
        <v>4</v>
      </c>
      <c r="C27" s="5">
        <v>3979</v>
      </c>
      <c r="D27" s="5">
        <f t="shared" si="12"/>
        <v>-197.09090909090901</v>
      </c>
      <c r="E27" s="5">
        <f t="shared" si="13"/>
        <v>197.09090909090901</v>
      </c>
      <c r="F27" s="5">
        <f t="shared" si="14"/>
        <v>38844.82644628096</v>
      </c>
      <c r="G27" s="5">
        <f t="shared" si="17"/>
        <v>99.674348697394791</v>
      </c>
      <c r="H27" s="5">
        <f t="shared" si="18"/>
        <v>-1.4850826054283885</v>
      </c>
      <c r="I27" s="5">
        <f t="shared" si="15"/>
        <v>1.4850826054283885</v>
      </c>
      <c r="J27" s="5">
        <f t="shared" si="16"/>
        <v>2.2054703449459709</v>
      </c>
    </row>
    <row r="28" spans="1:10" x14ac:dyDescent="0.2">
      <c r="A28" s="54">
        <v>2012</v>
      </c>
      <c r="B28" s="16">
        <v>5</v>
      </c>
      <c r="C28" s="5">
        <v>4098</v>
      </c>
      <c r="D28" s="5">
        <f t="shared" si="12"/>
        <v>-78.090909090909008</v>
      </c>
      <c r="E28" s="5">
        <f t="shared" si="13"/>
        <v>78.090909090909008</v>
      </c>
      <c r="F28" s="5">
        <f t="shared" si="14"/>
        <v>6098.1900826446154</v>
      </c>
      <c r="G28" s="5">
        <f t="shared" si="17"/>
        <v>102.9907011812013</v>
      </c>
      <c r="H28" s="5">
        <f t="shared" si="18"/>
        <v>1.8312698783781229</v>
      </c>
      <c r="I28" s="5">
        <f t="shared" si="15"/>
        <v>1.8312698783781229</v>
      </c>
      <c r="J28" s="5">
        <f t="shared" si="16"/>
        <v>3.3535493674550252</v>
      </c>
    </row>
    <row r="29" spans="1:10" x14ac:dyDescent="0.2">
      <c r="A29" s="54">
        <v>2013</v>
      </c>
      <c r="B29" s="16">
        <v>6</v>
      </c>
      <c r="C29" s="5">
        <v>4117</v>
      </c>
      <c r="D29" s="5">
        <f t="shared" si="12"/>
        <v>-59.090909090909008</v>
      </c>
      <c r="E29" s="5">
        <f t="shared" si="13"/>
        <v>59.090909090909008</v>
      </c>
      <c r="F29" s="5">
        <f t="shared" si="14"/>
        <v>3491.735537190073</v>
      </c>
      <c r="G29" s="5">
        <f t="shared" si="17"/>
        <v>100.46364080039044</v>
      </c>
      <c r="H29" s="5">
        <f t="shared" si="18"/>
        <v>-0.6957905024327431</v>
      </c>
      <c r="I29" s="5">
        <f t="shared" si="15"/>
        <v>0.6957905024327431</v>
      </c>
      <c r="J29" s="5">
        <f t="shared" si="16"/>
        <v>0.48412442327560906</v>
      </c>
    </row>
    <row r="30" spans="1:10" x14ac:dyDescent="0.2">
      <c r="A30" s="54">
        <v>2014</v>
      </c>
      <c r="B30" s="16">
        <v>7</v>
      </c>
      <c r="C30" s="5">
        <v>4213</v>
      </c>
      <c r="D30" s="5">
        <f t="shared" si="12"/>
        <v>36.909090909090992</v>
      </c>
      <c r="E30" s="5">
        <f t="shared" si="13"/>
        <v>36.909090909090992</v>
      </c>
      <c r="F30" s="5">
        <f t="shared" si="14"/>
        <v>1362.2809917355432</v>
      </c>
      <c r="G30" s="5">
        <f t="shared" si="17"/>
        <v>102.33179499635656</v>
      </c>
      <c r="H30" s="5">
        <f t="shared" si="18"/>
        <v>1.1723636935333843</v>
      </c>
      <c r="I30" s="5">
        <f t="shared" si="15"/>
        <v>1.1723636935333843</v>
      </c>
      <c r="J30" s="5">
        <f t="shared" si="16"/>
        <v>1.3744366299152391</v>
      </c>
    </row>
    <row r="31" spans="1:10" x14ac:dyDescent="0.2">
      <c r="A31" s="54">
        <v>2015</v>
      </c>
      <c r="B31" s="16">
        <v>8</v>
      </c>
      <c r="C31" s="5">
        <v>4316</v>
      </c>
      <c r="D31" s="5">
        <f t="shared" si="12"/>
        <v>139.90909090909099</v>
      </c>
      <c r="E31" s="5">
        <f t="shared" si="13"/>
        <v>139.90909090909099</v>
      </c>
      <c r="F31" s="5">
        <f t="shared" si="14"/>
        <v>19574.553719008287</v>
      </c>
      <c r="G31" s="5">
        <f t="shared" si="17"/>
        <v>102.44481367196772</v>
      </c>
      <c r="H31" s="5">
        <f t="shared" si="18"/>
        <v>1.2853823691445427</v>
      </c>
      <c r="I31" s="5">
        <f t="shared" si="15"/>
        <v>1.2853823691445427</v>
      </c>
      <c r="J31" s="5">
        <f t="shared" si="16"/>
        <v>1.6522078349076375</v>
      </c>
    </row>
    <row r="32" spans="1:10" x14ac:dyDescent="0.2">
      <c r="A32" s="54">
        <v>2016</v>
      </c>
      <c r="B32" s="16">
        <v>9</v>
      </c>
      <c r="C32" s="5">
        <v>4375</v>
      </c>
      <c r="D32" s="5">
        <f t="shared" si="12"/>
        <v>198.90909090909099</v>
      </c>
      <c r="E32" s="5">
        <f t="shared" si="13"/>
        <v>198.90909090909099</v>
      </c>
      <c r="F32" s="5">
        <f t="shared" si="14"/>
        <v>39564.826446281026</v>
      </c>
      <c r="G32" s="5">
        <f t="shared" si="17"/>
        <v>101.36700648748842</v>
      </c>
      <c r="H32" s="5">
        <f t="shared" si="18"/>
        <v>0.20757518466524516</v>
      </c>
      <c r="I32" s="5">
        <f t="shared" si="15"/>
        <v>0.20757518466524516</v>
      </c>
      <c r="J32" s="5">
        <f t="shared" si="16"/>
        <v>4.3087457288810631E-2</v>
      </c>
    </row>
    <row r="33" spans="1:10" x14ac:dyDescent="0.2">
      <c r="A33" s="54">
        <v>2017</v>
      </c>
      <c r="B33" s="16">
        <v>10</v>
      </c>
      <c r="C33" s="5">
        <v>4377</v>
      </c>
      <c r="D33" s="5">
        <f t="shared" si="12"/>
        <v>200.90909090909099</v>
      </c>
      <c r="E33" s="5">
        <f t="shared" si="13"/>
        <v>200.90909090909099</v>
      </c>
      <c r="F33" s="5">
        <f t="shared" si="14"/>
        <v>40364.462809917386</v>
      </c>
      <c r="G33" s="5">
        <f t="shared" si="17"/>
        <v>100.0457142857143</v>
      </c>
      <c r="H33" s="5">
        <f t="shared" si="18"/>
        <v>-1.1137170171088826</v>
      </c>
      <c r="I33" s="5">
        <f t="shared" si="15"/>
        <v>1.1137170171088826</v>
      </c>
      <c r="J33" s="5">
        <f t="shared" si="16"/>
        <v>1.240365594197907</v>
      </c>
    </row>
    <row r="34" spans="1:10" x14ac:dyDescent="0.2">
      <c r="A34" s="54">
        <v>2018</v>
      </c>
      <c r="B34" s="16">
        <v>11</v>
      </c>
      <c r="C34" s="5">
        <v>4482</v>
      </c>
      <c r="D34" s="5">
        <f t="shared" si="12"/>
        <v>305.90909090909099</v>
      </c>
      <c r="E34" s="5">
        <f t="shared" si="13"/>
        <v>305.90909090909099</v>
      </c>
      <c r="F34" s="5">
        <f t="shared" si="14"/>
        <v>93580.371900826503</v>
      </c>
      <c r="G34" s="5">
        <f t="shared" si="17"/>
        <v>102.39890335846471</v>
      </c>
      <c r="H34" s="5">
        <f t="shared" si="18"/>
        <v>1.239472055641528</v>
      </c>
      <c r="I34" s="5">
        <f t="shared" si="15"/>
        <v>1.239472055641528</v>
      </c>
      <c r="J34" s="5">
        <f t="shared" si="16"/>
        <v>1.5362909767162349</v>
      </c>
    </row>
    <row r="35" spans="1:10" x14ac:dyDescent="0.2">
      <c r="A35" s="54">
        <v>2019</v>
      </c>
      <c r="B35" s="16">
        <v>12</v>
      </c>
      <c r="C35" s="5" t="s">
        <v>79</v>
      </c>
      <c r="D35" s="5" t="s">
        <v>79</v>
      </c>
      <c r="E35" s="5" t="s">
        <v>79</v>
      </c>
      <c r="F35" s="5" t="s">
        <v>79</v>
      </c>
      <c r="G35" s="5" t="s">
        <v>79</v>
      </c>
      <c r="H35" s="5" t="s">
        <v>79</v>
      </c>
      <c r="I35" s="5" t="s">
        <v>79</v>
      </c>
      <c r="J35" s="5" t="s">
        <v>79</v>
      </c>
    </row>
    <row r="36" spans="1:10" x14ac:dyDescent="0.2">
      <c r="A36" s="54" t="s">
        <v>126</v>
      </c>
      <c r="B36" s="16">
        <v>13</v>
      </c>
      <c r="C36" s="5">
        <f>AVERAGE(C24:C34)</f>
        <v>4176.090909090909</v>
      </c>
      <c r="D36" s="5" t="s">
        <v>79</v>
      </c>
      <c r="E36" s="5" t="s">
        <v>79</v>
      </c>
      <c r="F36" s="5" t="s">
        <v>79</v>
      </c>
      <c r="G36" s="5">
        <f>POWER(PRODUCT(G25:G34), 1/COUNTA(G25:G34))</f>
        <v>101.15943130282318</v>
      </c>
      <c r="H36" s="5" t="s">
        <v>79</v>
      </c>
      <c r="I36" s="5" t="s">
        <v>79</v>
      </c>
      <c r="J36" s="5" t="s">
        <v>79</v>
      </c>
    </row>
    <row r="38" spans="1:10" x14ac:dyDescent="0.2">
      <c r="A38" s="6" t="s">
        <v>232</v>
      </c>
    </row>
    <row r="41" spans="1:10" ht="15.75" x14ac:dyDescent="0.25">
      <c r="A41" s="62" t="s">
        <v>233</v>
      </c>
    </row>
    <row r="43" spans="1:10" ht="60" x14ac:dyDescent="0.2">
      <c r="A43" s="83" t="s">
        <v>191</v>
      </c>
      <c r="B43" s="84"/>
      <c r="C43" s="2" t="s">
        <v>121</v>
      </c>
      <c r="D43" s="2" t="s">
        <v>119</v>
      </c>
      <c r="E43" s="2" t="s">
        <v>120</v>
      </c>
      <c r="F43" s="2" t="s">
        <v>124</v>
      </c>
      <c r="G43" s="2" t="s">
        <v>267</v>
      </c>
      <c r="H43" s="2" t="s">
        <v>119</v>
      </c>
      <c r="I43" s="2" t="s">
        <v>120</v>
      </c>
      <c r="J43" s="2" t="s">
        <v>124</v>
      </c>
    </row>
    <row r="44" spans="1:10" x14ac:dyDescent="0.2">
      <c r="A44" s="16" t="s">
        <v>13</v>
      </c>
      <c r="B44" s="15" t="s">
        <v>14</v>
      </c>
      <c r="C44" s="16" t="s">
        <v>143</v>
      </c>
      <c r="D44" s="16">
        <v>1</v>
      </c>
      <c r="E44" s="16">
        <v>2</v>
      </c>
      <c r="F44" s="16">
        <v>3</v>
      </c>
      <c r="G44" s="16">
        <v>4</v>
      </c>
      <c r="H44" s="16">
        <v>5</v>
      </c>
      <c r="I44" s="16">
        <v>6</v>
      </c>
      <c r="J44" s="16">
        <v>7</v>
      </c>
    </row>
    <row r="45" spans="1:10" x14ac:dyDescent="0.2">
      <c r="A45" s="54">
        <v>2008</v>
      </c>
      <c r="B45" s="16">
        <v>1</v>
      </c>
      <c r="C45" s="5">
        <f t="array" ref="C45:C55">TRANSPOSE(C6:M6)</f>
        <v>488</v>
      </c>
      <c r="D45" s="5">
        <f>C45-$C$57</f>
        <v>-35</v>
      </c>
      <c r="E45" s="5">
        <f>ABS(D45)</f>
        <v>35</v>
      </c>
      <c r="F45" s="5">
        <f>POWER(E45,2)</f>
        <v>1225</v>
      </c>
      <c r="G45" s="5" t="s">
        <v>79</v>
      </c>
      <c r="H45" s="5" t="s">
        <v>79</v>
      </c>
      <c r="I45" s="5" t="s">
        <v>79</v>
      </c>
      <c r="J45" s="5" t="s">
        <v>79</v>
      </c>
    </row>
    <row r="46" spans="1:10" x14ac:dyDescent="0.2">
      <c r="A46" s="54">
        <v>2009</v>
      </c>
      <c r="B46" s="16">
        <v>2</v>
      </c>
      <c r="C46" s="5">
        <v>494</v>
      </c>
      <c r="D46" s="5">
        <f>C46-$C$57</f>
        <v>-29</v>
      </c>
      <c r="E46" s="5">
        <f t="shared" ref="E46:E55" si="19">ABS(D46)</f>
        <v>29</v>
      </c>
      <c r="F46" s="5">
        <f t="shared" ref="F46:F55" si="20">POWER(E46,2)</f>
        <v>841</v>
      </c>
      <c r="G46" s="5">
        <f>C46/C45*100</f>
        <v>101.22950819672131</v>
      </c>
      <c r="H46" s="5">
        <f>G46-$G$57</f>
        <v>-8.3566786977485208E-2</v>
      </c>
      <c r="I46" s="5">
        <f t="shared" ref="I46:I55" si="21">ABS(H46)</f>
        <v>8.3566786977485208E-2</v>
      </c>
      <c r="J46" s="5">
        <f t="shared" ref="J46:J55" si="22">POWER(I46,2)</f>
        <v>6.9834078857403913E-3</v>
      </c>
    </row>
    <row r="47" spans="1:10" x14ac:dyDescent="0.2">
      <c r="A47" s="54">
        <v>2010</v>
      </c>
      <c r="B47" s="16">
        <v>3</v>
      </c>
      <c r="C47" s="5">
        <v>506</v>
      </c>
      <c r="D47" s="5">
        <f t="shared" ref="D47:D55" si="23">C47-$C$57</f>
        <v>-17</v>
      </c>
      <c r="E47" s="5">
        <f t="shared" si="19"/>
        <v>17</v>
      </c>
      <c r="F47" s="5">
        <f t="shared" si="20"/>
        <v>289</v>
      </c>
      <c r="G47" s="5">
        <f t="shared" ref="G47:G55" si="24">C47/C46*100</f>
        <v>102.42914979757086</v>
      </c>
      <c r="H47" s="5">
        <f t="shared" ref="H47:H55" si="25">G47-$G$57</f>
        <v>1.1160748138720606</v>
      </c>
      <c r="I47" s="5">
        <f t="shared" si="21"/>
        <v>1.1160748138720606</v>
      </c>
      <c r="J47" s="5">
        <f t="shared" si="22"/>
        <v>1.2456229901595548</v>
      </c>
    </row>
    <row r="48" spans="1:10" x14ac:dyDescent="0.2">
      <c r="A48" s="54">
        <v>2011</v>
      </c>
      <c r="B48" s="16">
        <v>4</v>
      </c>
      <c r="C48" s="5">
        <v>512</v>
      </c>
      <c r="D48" s="5">
        <f t="shared" si="23"/>
        <v>-11</v>
      </c>
      <c r="E48" s="5">
        <f t="shared" si="19"/>
        <v>11</v>
      </c>
      <c r="F48" s="5">
        <f t="shared" si="20"/>
        <v>121</v>
      </c>
      <c r="G48" s="5">
        <f t="shared" si="24"/>
        <v>101.18577075098814</v>
      </c>
      <c r="H48" s="5">
        <f t="shared" si="25"/>
        <v>-0.12730423271065661</v>
      </c>
      <c r="I48" s="5">
        <f t="shared" si="21"/>
        <v>0.12730423271065661</v>
      </c>
      <c r="J48" s="5">
        <f t="shared" si="22"/>
        <v>1.620636766604901E-2</v>
      </c>
    </row>
    <row r="49" spans="1:10" x14ac:dyDescent="0.2">
      <c r="A49" s="54">
        <v>2012</v>
      </c>
      <c r="B49" s="16">
        <v>5</v>
      </c>
      <c r="C49" s="5">
        <v>519</v>
      </c>
      <c r="D49" s="5">
        <f t="shared" si="23"/>
        <v>-4</v>
      </c>
      <c r="E49" s="5">
        <f>ABS(D49)</f>
        <v>4</v>
      </c>
      <c r="F49" s="5">
        <f t="shared" si="20"/>
        <v>16</v>
      </c>
      <c r="G49" s="5">
        <f t="shared" si="24"/>
        <v>101.3671875</v>
      </c>
      <c r="H49" s="5">
        <f t="shared" si="25"/>
        <v>5.4112516301202618E-2</v>
      </c>
      <c r="I49" s="5">
        <f t="shared" si="21"/>
        <v>5.4112516301202618E-2</v>
      </c>
      <c r="J49" s="5">
        <f t="shared" si="22"/>
        <v>2.9281644204479191E-3</v>
      </c>
    </row>
    <row r="50" spans="1:10" x14ac:dyDescent="0.2">
      <c r="A50" s="54">
        <v>2013</v>
      </c>
      <c r="B50" s="16">
        <v>6</v>
      </c>
      <c r="C50" s="5">
        <v>522</v>
      </c>
      <c r="D50" s="5">
        <f t="shared" si="23"/>
        <v>-1</v>
      </c>
      <c r="E50" s="5">
        <f t="shared" si="19"/>
        <v>1</v>
      </c>
      <c r="F50" s="5">
        <f>POWER(E50,2)</f>
        <v>1</v>
      </c>
      <c r="G50" s="5">
        <f t="shared" si="24"/>
        <v>100.57803468208093</v>
      </c>
      <c r="H50" s="5">
        <f t="shared" si="25"/>
        <v>-0.73504030161787171</v>
      </c>
      <c r="I50" s="5">
        <f t="shared" si="21"/>
        <v>0.73504030161787171</v>
      </c>
      <c r="J50" s="5">
        <f t="shared" si="22"/>
        <v>0.54028424500249184</v>
      </c>
    </row>
    <row r="51" spans="1:10" x14ac:dyDescent="0.2">
      <c r="A51" s="54">
        <v>2014</v>
      </c>
      <c r="B51" s="16">
        <v>7</v>
      </c>
      <c r="C51" s="5">
        <v>526</v>
      </c>
      <c r="D51" s="5">
        <f t="shared" si="23"/>
        <v>3</v>
      </c>
      <c r="E51" s="5">
        <f t="shared" si="19"/>
        <v>3</v>
      </c>
      <c r="F51" s="5">
        <f t="shared" si="20"/>
        <v>9</v>
      </c>
      <c r="G51" s="5">
        <f t="shared" si="24"/>
        <v>100.76628352490422</v>
      </c>
      <c r="H51" s="5">
        <f t="shared" si="25"/>
        <v>-0.5467914587945728</v>
      </c>
      <c r="I51" s="5">
        <f t="shared" si="21"/>
        <v>0.5467914587945728</v>
      </c>
      <c r="J51" s="5">
        <f t="shared" si="22"/>
        <v>0.298980899410697</v>
      </c>
    </row>
    <row r="52" spans="1:10" x14ac:dyDescent="0.2">
      <c r="A52" s="54">
        <v>2015</v>
      </c>
      <c r="B52" s="16">
        <v>8</v>
      </c>
      <c r="C52" s="5">
        <v>535</v>
      </c>
      <c r="D52" s="5">
        <f t="shared" si="23"/>
        <v>12</v>
      </c>
      <c r="E52" s="5">
        <f t="shared" si="19"/>
        <v>12</v>
      </c>
      <c r="F52" s="5">
        <f t="shared" si="20"/>
        <v>144</v>
      </c>
      <c r="G52" s="5">
        <f t="shared" si="24"/>
        <v>101.71102661596959</v>
      </c>
      <c r="H52" s="5">
        <f t="shared" si="25"/>
        <v>0.39795163227078945</v>
      </c>
      <c r="I52" s="5">
        <f t="shared" si="21"/>
        <v>0.39795163227078945</v>
      </c>
      <c r="J52" s="5">
        <f t="shared" si="22"/>
        <v>0.15836550162698562</v>
      </c>
    </row>
    <row r="53" spans="1:10" x14ac:dyDescent="0.2">
      <c r="A53" s="54">
        <v>2016</v>
      </c>
      <c r="B53" s="16">
        <v>9</v>
      </c>
      <c r="C53" s="5">
        <v>548</v>
      </c>
      <c r="D53" s="5">
        <f t="shared" si="23"/>
        <v>25</v>
      </c>
      <c r="E53" s="5">
        <f t="shared" si="19"/>
        <v>25</v>
      </c>
      <c r="F53" s="5">
        <f t="shared" si="20"/>
        <v>625</v>
      </c>
      <c r="G53" s="5">
        <f t="shared" si="24"/>
        <v>102.42990654205609</v>
      </c>
      <c r="H53" s="5">
        <f t="shared" si="25"/>
        <v>1.1168315583572905</v>
      </c>
      <c r="I53" s="5">
        <f t="shared" si="21"/>
        <v>1.1168315583572905</v>
      </c>
      <c r="J53" s="5">
        <f t="shared" si="22"/>
        <v>1.247312729742774</v>
      </c>
    </row>
    <row r="54" spans="1:10" x14ac:dyDescent="0.2">
      <c r="A54" s="54">
        <v>2017</v>
      </c>
      <c r="B54" s="16">
        <v>10</v>
      </c>
      <c r="C54" s="5">
        <v>547</v>
      </c>
      <c r="D54" s="5">
        <f t="shared" si="23"/>
        <v>24</v>
      </c>
      <c r="E54" s="5">
        <f t="shared" si="19"/>
        <v>24</v>
      </c>
      <c r="F54" s="5">
        <f t="shared" si="20"/>
        <v>576</v>
      </c>
      <c r="G54" s="5">
        <f t="shared" si="24"/>
        <v>99.81751824817519</v>
      </c>
      <c r="H54" s="5">
        <f t="shared" si="25"/>
        <v>-1.495556735523607</v>
      </c>
      <c r="I54" s="5">
        <f t="shared" si="21"/>
        <v>1.495556735523607</v>
      </c>
      <c r="J54" s="5">
        <f t="shared" si="22"/>
        <v>2.2366899491700281</v>
      </c>
    </row>
    <row r="55" spans="1:10" x14ac:dyDescent="0.2">
      <c r="A55" s="54">
        <v>2018</v>
      </c>
      <c r="B55" s="16">
        <v>11</v>
      </c>
      <c r="C55" s="5">
        <v>556</v>
      </c>
      <c r="D55" s="5">
        <f t="shared" si="23"/>
        <v>33</v>
      </c>
      <c r="E55" s="5">
        <f t="shared" si="19"/>
        <v>33</v>
      </c>
      <c r="F55" s="5">
        <f t="shared" si="20"/>
        <v>1089</v>
      </c>
      <c r="G55" s="5">
        <f t="shared" si="24"/>
        <v>101.64533820840951</v>
      </c>
      <c r="H55" s="5">
        <f t="shared" si="25"/>
        <v>0.33226322471071512</v>
      </c>
      <c r="I55" s="5">
        <f t="shared" si="21"/>
        <v>0.33226322471071512</v>
      </c>
      <c r="J55" s="5">
        <f t="shared" si="22"/>
        <v>0.11039885049516317</v>
      </c>
    </row>
    <row r="56" spans="1:10" x14ac:dyDescent="0.2">
      <c r="A56" s="54">
        <v>2019</v>
      </c>
      <c r="B56" s="16">
        <v>12</v>
      </c>
      <c r="C56" s="5" t="s">
        <v>79</v>
      </c>
      <c r="D56" s="5" t="s">
        <v>79</v>
      </c>
      <c r="E56" s="5" t="s">
        <v>79</v>
      </c>
      <c r="F56" s="5" t="s">
        <v>79</v>
      </c>
      <c r="G56" s="5" t="s">
        <v>79</v>
      </c>
      <c r="H56" s="5" t="s">
        <v>79</v>
      </c>
      <c r="I56" s="5" t="s">
        <v>79</v>
      </c>
      <c r="J56" s="5" t="s">
        <v>79</v>
      </c>
    </row>
    <row r="57" spans="1:10" x14ac:dyDescent="0.2">
      <c r="A57" s="54" t="s">
        <v>126</v>
      </c>
      <c r="B57" s="16">
        <v>13</v>
      </c>
      <c r="C57" s="5">
        <f>AVERAGE(C45:C55)</f>
        <v>523</v>
      </c>
      <c r="D57" s="5" t="s">
        <v>79</v>
      </c>
      <c r="E57" s="5" t="s">
        <v>79</v>
      </c>
      <c r="F57" s="5" t="s">
        <v>79</v>
      </c>
      <c r="G57" s="5">
        <f>POWER(PRODUCT(G46:G55), 1/COUNTA(G46:G55))</f>
        <v>101.3130749836988</v>
      </c>
      <c r="H57" s="5" t="s">
        <v>79</v>
      </c>
      <c r="I57" s="5" t="s">
        <v>79</v>
      </c>
      <c r="J57" s="5" t="s">
        <v>79</v>
      </c>
    </row>
    <row r="58" spans="1:10" x14ac:dyDescent="0.2">
      <c r="A58" s="60"/>
      <c r="B58" s="57"/>
      <c r="C58" s="41"/>
      <c r="D58" s="41"/>
      <c r="E58" s="41"/>
      <c r="F58" s="41"/>
    </row>
    <row r="59" spans="1:10" x14ac:dyDescent="0.2">
      <c r="A59" s="6" t="s">
        <v>232</v>
      </c>
      <c r="B59" s="57"/>
      <c r="C59" s="41"/>
      <c r="D59" s="41"/>
      <c r="E59" s="41"/>
      <c r="F59" s="41"/>
    </row>
    <row r="60" spans="1:10" x14ac:dyDescent="0.2">
      <c r="A60" s="60"/>
      <c r="B60" s="57"/>
      <c r="C60" s="41"/>
      <c r="D60" s="41"/>
      <c r="E60" s="41"/>
      <c r="F60" s="41"/>
    </row>
    <row r="61" spans="1:10" x14ac:dyDescent="0.2">
      <c r="A61" s="60"/>
      <c r="B61" s="57"/>
      <c r="C61" s="41"/>
      <c r="D61" s="41"/>
      <c r="E61" s="41"/>
      <c r="F61" s="41"/>
    </row>
    <row r="62" spans="1:10" ht="15.75" x14ac:dyDescent="0.25">
      <c r="A62" s="62" t="s">
        <v>237</v>
      </c>
    </row>
    <row r="64" spans="1:10" ht="60" x14ac:dyDescent="0.2">
      <c r="A64" s="83" t="s">
        <v>191</v>
      </c>
      <c r="B64" s="84"/>
      <c r="C64" s="2" t="s">
        <v>121</v>
      </c>
      <c r="D64" s="2" t="s">
        <v>119</v>
      </c>
      <c r="E64" s="2" t="s">
        <v>120</v>
      </c>
      <c r="F64" s="2" t="s">
        <v>124</v>
      </c>
      <c r="G64" s="2" t="s">
        <v>267</v>
      </c>
      <c r="H64" s="2" t="s">
        <v>119</v>
      </c>
      <c r="I64" s="2" t="s">
        <v>120</v>
      </c>
      <c r="J64" s="2" t="s">
        <v>124</v>
      </c>
    </row>
    <row r="65" spans="1:10" x14ac:dyDescent="0.2">
      <c r="A65" s="16" t="s">
        <v>13</v>
      </c>
      <c r="B65" s="15" t="s">
        <v>14</v>
      </c>
      <c r="C65" s="16" t="s">
        <v>143</v>
      </c>
      <c r="D65" s="16">
        <v>1</v>
      </c>
      <c r="E65" s="16">
        <v>2</v>
      </c>
      <c r="F65" s="16">
        <v>3</v>
      </c>
      <c r="G65" s="16">
        <v>4</v>
      </c>
      <c r="H65" s="16">
        <v>5</v>
      </c>
      <c r="I65" s="16">
        <v>6</v>
      </c>
      <c r="J65" s="16">
        <v>7</v>
      </c>
    </row>
    <row r="66" spans="1:10" x14ac:dyDescent="0.2">
      <c r="A66" s="54">
        <v>2008</v>
      </c>
      <c r="B66" s="16">
        <v>1</v>
      </c>
      <c r="C66" s="5">
        <f t="array" ref="C66:C76">TRANSPOSE(C7:M7)</f>
        <v>65.5</v>
      </c>
      <c r="D66" s="5">
        <f>C66-$C$78</f>
        <v>14.709090909090904</v>
      </c>
      <c r="E66" s="5">
        <f>ABS(D66)</f>
        <v>14.709090909090904</v>
      </c>
      <c r="F66" s="5">
        <f>POWER(E66,2)</f>
        <v>216.35735537190067</v>
      </c>
      <c r="G66" s="5" t="s">
        <v>79</v>
      </c>
      <c r="H66" s="5" t="s">
        <v>79</v>
      </c>
      <c r="I66" s="5" t="s">
        <v>79</v>
      </c>
      <c r="J66" s="5" t="s">
        <v>79</v>
      </c>
    </row>
    <row r="67" spans="1:10" x14ac:dyDescent="0.2">
      <c r="A67" s="54">
        <v>2009</v>
      </c>
      <c r="B67" s="16">
        <v>2</v>
      </c>
      <c r="C67" s="5">
        <v>62.8</v>
      </c>
      <c r="D67" s="5">
        <f>C67-$C$78</f>
        <v>12.009090909090901</v>
      </c>
      <c r="E67" s="5">
        <f t="shared" ref="E67:E76" si="26">ABS(D67)</f>
        <v>12.009090909090901</v>
      </c>
      <c r="F67" s="5">
        <f t="shared" ref="F67:F76" si="27">POWER(E67,2)</f>
        <v>144.21826446280971</v>
      </c>
      <c r="G67" s="5">
        <f>C67/C66*100</f>
        <v>95.877862595419842</v>
      </c>
      <c r="H67" s="5">
        <f>G67-$G$78</f>
        <v>-1.6317987756180941</v>
      </c>
      <c r="I67" s="5">
        <f t="shared" ref="I67:I76" si="28">ABS(H67)</f>
        <v>1.6317987756180941</v>
      </c>
      <c r="J67" s="5">
        <f t="shared" ref="J67:J76" si="29">POWER(I67,2)</f>
        <v>2.6627672441087107</v>
      </c>
    </row>
    <row r="68" spans="1:10" x14ac:dyDescent="0.2">
      <c r="A68" s="54">
        <v>2010</v>
      </c>
      <c r="B68" s="16">
        <v>3</v>
      </c>
      <c r="C68" s="5">
        <v>63</v>
      </c>
      <c r="D68" s="5">
        <f t="shared" ref="D68:D76" si="30">C68-$C$78</f>
        <v>12.209090909090904</v>
      </c>
      <c r="E68" s="5">
        <f t="shared" si="26"/>
        <v>12.209090909090904</v>
      </c>
      <c r="F68" s="5">
        <f t="shared" si="27"/>
        <v>149.06190082644616</v>
      </c>
      <c r="G68" s="5">
        <f t="shared" ref="G68:G76" si="31">C68/C67*100</f>
        <v>100.31847133757962</v>
      </c>
      <c r="H68" s="5">
        <f t="shared" ref="H68:H76" si="32">G68-$G$78</f>
        <v>2.8088099665416877</v>
      </c>
      <c r="I68" s="5">
        <f t="shared" si="28"/>
        <v>2.8088099665416877</v>
      </c>
      <c r="J68" s="5">
        <f t="shared" si="29"/>
        <v>7.889413428143917</v>
      </c>
    </row>
    <row r="69" spans="1:10" x14ac:dyDescent="0.2">
      <c r="A69" s="54">
        <v>2011</v>
      </c>
      <c r="B69" s="16">
        <v>4</v>
      </c>
      <c r="C69" s="5">
        <v>52</v>
      </c>
      <c r="D69" s="5">
        <f t="shared" si="30"/>
        <v>1.2090909090909037</v>
      </c>
      <c r="E69" s="5">
        <f t="shared" si="26"/>
        <v>1.2090909090909037</v>
      </c>
      <c r="F69" s="5">
        <f t="shared" si="27"/>
        <v>1.4619008264462678</v>
      </c>
      <c r="G69" s="5">
        <f t="shared" si="31"/>
        <v>82.539682539682531</v>
      </c>
      <c r="H69" s="5">
        <f t="shared" si="32"/>
        <v>-14.969978831355405</v>
      </c>
      <c r="I69" s="5">
        <f t="shared" si="28"/>
        <v>14.969978831355405</v>
      </c>
      <c r="J69" s="5">
        <f t="shared" si="29"/>
        <v>224.10026621122896</v>
      </c>
    </row>
    <row r="70" spans="1:10" x14ac:dyDescent="0.2">
      <c r="A70" s="54">
        <v>2012</v>
      </c>
      <c r="B70" s="16">
        <v>5</v>
      </c>
      <c r="C70" s="5">
        <v>44.6</v>
      </c>
      <c r="D70" s="5">
        <f t="shared" si="30"/>
        <v>-6.1909090909090949</v>
      </c>
      <c r="E70" s="5">
        <f>ABS(D70)</f>
        <v>6.1909090909090949</v>
      </c>
      <c r="F70" s="5">
        <f t="shared" si="27"/>
        <v>38.327355371900879</v>
      </c>
      <c r="G70" s="5">
        <f t="shared" si="31"/>
        <v>85.769230769230774</v>
      </c>
      <c r="H70" s="5">
        <f t="shared" si="32"/>
        <v>-11.740430601807162</v>
      </c>
      <c r="I70" s="5">
        <f t="shared" si="28"/>
        <v>11.740430601807162</v>
      </c>
      <c r="J70" s="5">
        <f t="shared" si="29"/>
        <v>137.83771071585008</v>
      </c>
    </row>
    <row r="71" spans="1:10" x14ac:dyDescent="0.2">
      <c r="A71" s="54">
        <v>2013</v>
      </c>
      <c r="B71" s="16">
        <v>6</v>
      </c>
      <c r="C71" s="5">
        <v>40.700000000000003</v>
      </c>
      <c r="D71" s="5">
        <f t="shared" si="30"/>
        <v>-10.090909090909093</v>
      </c>
      <c r="E71" s="5">
        <f t="shared" si="26"/>
        <v>10.090909090909093</v>
      </c>
      <c r="F71" s="5">
        <f>POWER(E71,2)</f>
        <v>101.82644628099179</v>
      </c>
      <c r="G71" s="5">
        <f t="shared" si="31"/>
        <v>91.255605381165921</v>
      </c>
      <c r="H71" s="5">
        <f t="shared" si="32"/>
        <v>-6.2540559898720147</v>
      </c>
      <c r="I71" s="5">
        <f t="shared" si="28"/>
        <v>6.2540559898720147</v>
      </c>
      <c r="J71" s="5">
        <f t="shared" si="29"/>
        <v>39.113216324454029</v>
      </c>
    </row>
    <row r="72" spans="1:10" x14ac:dyDescent="0.2">
      <c r="A72" s="54">
        <v>2014</v>
      </c>
      <c r="B72" s="16">
        <v>7</v>
      </c>
      <c r="C72" s="5">
        <v>40</v>
      </c>
      <c r="D72" s="5">
        <f t="shared" si="30"/>
        <v>-10.790909090909096</v>
      </c>
      <c r="E72" s="5">
        <f t="shared" si="26"/>
        <v>10.790909090909096</v>
      </c>
      <c r="F72" s="5">
        <f t="shared" si="27"/>
        <v>116.44371900826458</v>
      </c>
      <c r="G72" s="5">
        <f t="shared" si="31"/>
        <v>98.280098280098272</v>
      </c>
      <c r="H72" s="5">
        <f t="shared" si="32"/>
        <v>0.77043690906033646</v>
      </c>
      <c r="I72" s="5">
        <f t="shared" si="28"/>
        <v>0.77043690906033646</v>
      </c>
      <c r="J72" s="5">
        <f t="shared" si="29"/>
        <v>0.59357303084244517</v>
      </c>
    </row>
    <row r="73" spans="1:10" x14ac:dyDescent="0.2">
      <c r="A73" s="54">
        <v>2015</v>
      </c>
      <c r="B73" s="16">
        <v>8</v>
      </c>
      <c r="C73" s="5">
        <v>45.3</v>
      </c>
      <c r="D73" s="5">
        <f t="shared" si="30"/>
        <v>-5.4909090909090992</v>
      </c>
      <c r="E73" s="5">
        <f t="shared" si="26"/>
        <v>5.4909090909090992</v>
      </c>
      <c r="F73" s="5">
        <f t="shared" si="27"/>
        <v>30.150082644628188</v>
      </c>
      <c r="G73" s="5">
        <f t="shared" si="31"/>
        <v>113.24999999999999</v>
      </c>
      <c r="H73" s="5">
        <f t="shared" si="32"/>
        <v>15.74033862896205</v>
      </c>
      <c r="I73" s="5">
        <f t="shared" si="28"/>
        <v>15.74033862896205</v>
      </c>
      <c r="J73" s="5">
        <f t="shared" si="29"/>
        <v>247.75826015439492</v>
      </c>
    </row>
    <row r="74" spans="1:10" x14ac:dyDescent="0.2">
      <c r="A74" s="54">
        <v>2016</v>
      </c>
      <c r="B74" s="16">
        <v>9</v>
      </c>
      <c r="C74" s="5">
        <v>47.4</v>
      </c>
      <c r="D74" s="5">
        <f t="shared" si="30"/>
        <v>-3.3909090909090978</v>
      </c>
      <c r="E74" s="5">
        <f t="shared" si="26"/>
        <v>3.3909090909090978</v>
      </c>
      <c r="F74" s="5">
        <f t="shared" si="27"/>
        <v>11.498264462809964</v>
      </c>
      <c r="G74" s="5">
        <f t="shared" si="31"/>
        <v>104.63576158940397</v>
      </c>
      <c r="H74" s="5">
        <f t="shared" si="32"/>
        <v>7.1261002183660338</v>
      </c>
      <c r="I74" s="5">
        <f t="shared" si="28"/>
        <v>7.1261002183660338</v>
      </c>
      <c r="J74" s="5">
        <f t="shared" si="29"/>
        <v>50.781304322196434</v>
      </c>
    </row>
    <row r="75" spans="1:10" x14ac:dyDescent="0.2">
      <c r="A75" s="54">
        <v>2017</v>
      </c>
      <c r="B75" s="16">
        <v>10</v>
      </c>
      <c r="C75" s="5">
        <v>46.5</v>
      </c>
      <c r="D75" s="5">
        <f t="shared" si="30"/>
        <v>-4.2909090909090963</v>
      </c>
      <c r="E75" s="5">
        <f t="shared" si="26"/>
        <v>4.2909090909090963</v>
      </c>
      <c r="F75" s="5">
        <f t="shared" si="27"/>
        <v>18.411900826446328</v>
      </c>
      <c r="G75" s="5">
        <f t="shared" si="31"/>
        <v>98.101265822784811</v>
      </c>
      <c r="H75" s="5">
        <f t="shared" si="32"/>
        <v>0.59160445174687482</v>
      </c>
      <c r="I75" s="5">
        <f t="shared" si="28"/>
        <v>0.59160445174687482</v>
      </c>
      <c r="J75" s="5">
        <f t="shared" si="29"/>
        <v>0.34999582732672035</v>
      </c>
    </row>
    <row r="76" spans="1:10" x14ac:dyDescent="0.2">
      <c r="A76" s="54">
        <v>2018</v>
      </c>
      <c r="B76" s="16">
        <v>11</v>
      </c>
      <c r="C76" s="5">
        <v>50.9</v>
      </c>
      <c r="D76" s="5">
        <f t="shared" si="30"/>
        <v>0.10909090909090224</v>
      </c>
      <c r="E76" s="5">
        <f t="shared" si="26"/>
        <v>0.10909090909090224</v>
      </c>
      <c r="F76" s="5">
        <f t="shared" si="27"/>
        <v>1.1900826446279497E-2</v>
      </c>
      <c r="G76" s="5">
        <f t="shared" si="31"/>
        <v>109.46236559139784</v>
      </c>
      <c r="H76" s="5">
        <f t="shared" si="32"/>
        <v>11.952704220359905</v>
      </c>
      <c r="I76" s="5">
        <f t="shared" si="28"/>
        <v>11.952704220359905</v>
      </c>
      <c r="J76" s="5">
        <f t="shared" si="29"/>
        <v>142.86713817940949</v>
      </c>
    </row>
    <row r="77" spans="1:10" x14ac:dyDescent="0.2">
      <c r="A77" s="54">
        <v>2019</v>
      </c>
      <c r="B77" s="16">
        <v>12</v>
      </c>
      <c r="C77" s="5" t="s">
        <v>79</v>
      </c>
      <c r="D77" s="5" t="s">
        <v>79</v>
      </c>
      <c r="E77" s="5" t="s">
        <v>79</v>
      </c>
      <c r="F77" s="5" t="s">
        <v>79</v>
      </c>
      <c r="G77" s="5" t="s">
        <v>79</v>
      </c>
      <c r="H77" s="5" t="s">
        <v>79</v>
      </c>
      <c r="I77" s="5" t="s">
        <v>79</v>
      </c>
      <c r="J77" s="5" t="s">
        <v>79</v>
      </c>
    </row>
    <row r="78" spans="1:10" x14ac:dyDescent="0.2">
      <c r="A78" s="54" t="s">
        <v>126</v>
      </c>
      <c r="B78" s="16">
        <v>13</v>
      </c>
      <c r="C78" s="5">
        <f>AVERAGE(C66:C76)</f>
        <v>50.790909090909096</v>
      </c>
      <c r="D78" s="5" t="s">
        <v>79</v>
      </c>
      <c r="E78" s="5" t="s">
        <v>79</v>
      </c>
      <c r="F78" s="5" t="s">
        <v>79</v>
      </c>
      <c r="G78" s="5">
        <f>POWER(PRODUCT(G67:G76), 1/COUNTA(G67:G76))</f>
        <v>97.509661371037936</v>
      </c>
      <c r="H78" s="5" t="s">
        <v>79</v>
      </c>
      <c r="I78" s="5" t="s">
        <v>79</v>
      </c>
      <c r="J78" s="5" t="s">
        <v>79</v>
      </c>
    </row>
    <row r="79" spans="1:10" x14ac:dyDescent="0.2">
      <c r="A79" s="60"/>
      <c r="B79" s="57"/>
      <c r="C79" s="41"/>
      <c r="D79" s="41"/>
      <c r="E79" s="41"/>
      <c r="F79" s="41"/>
    </row>
    <row r="80" spans="1:10" x14ac:dyDescent="0.2">
      <c r="A80" s="6" t="s">
        <v>232</v>
      </c>
      <c r="B80" s="57"/>
      <c r="C80" s="41"/>
      <c r="D80" s="41"/>
      <c r="E80" s="41"/>
      <c r="F80" s="41"/>
    </row>
    <row r="81" spans="1:10" x14ac:dyDescent="0.2">
      <c r="A81" s="60"/>
      <c r="B81" s="57"/>
      <c r="C81" s="41"/>
      <c r="D81" s="41"/>
      <c r="E81" s="41"/>
      <c r="F81" s="41"/>
    </row>
    <row r="82" spans="1:10" x14ac:dyDescent="0.2">
      <c r="A82" s="60"/>
      <c r="B82" s="57"/>
      <c r="C82" s="41"/>
      <c r="D82" s="41"/>
      <c r="E82" s="41"/>
      <c r="F82" s="41"/>
    </row>
    <row r="83" spans="1:10" ht="15.75" x14ac:dyDescent="0.25">
      <c r="A83" s="62" t="s">
        <v>239</v>
      </c>
    </row>
    <row r="85" spans="1:10" ht="60" x14ac:dyDescent="0.2">
      <c r="A85" s="83" t="s">
        <v>191</v>
      </c>
      <c r="B85" s="84"/>
      <c r="C85" s="2" t="s">
        <v>121</v>
      </c>
      <c r="D85" s="2" t="s">
        <v>119</v>
      </c>
      <c r="E85" s="2" t="s">
        <v>120</v>
      </c>
      <c r="F85" s="2" t="s">
        <v>124</v>
      </c>
      <c r="G85" s="2" t="s">
        <v>267</v>
      </c>
      <c r="H85" s="2" t="s">
        <v>119</v>
      </c>
      <c r="I85" s="2" t="s">
        <v>120</v>
      </c>
      <c r="J85" s="2" t="s">
        <v>124</v>
      </c>
    </row>
    <row r="86" spans="1:10" x14ac:dyDescent="0.2">
      <c r="A86" s="16" t="s">
        <v>13</v>
      </c>
      <c r="B86" s="15" t="s">
        <v>14</v>
      </c>
      <c r="C86" s="16" t="s">
        <v>143</v>
      </c>
      <c r="D86" s="16">
        <v>1</v>
      </c>
      <c r="E86" s="16">
        <v>2</v>
      </c>
      <c r="F86" s="16">
        <v>3</v>
      </c>
      <c r="G86" s="16">
        <v>4</v>
      </c>
      <c r="H86" s="16">
        <v>5</v>
      </c>
      <c r="I86" s="16">
        <v>6</v>
      </c>
      <c r="J86" s="16">
        <v>7</v>
      </c>
    </row>
    <row r="87" spans="1:10" x14ac:dyDescent="0.2">
      <c r="A87" s="54">
        <v>2008</v>
      </c>
      <c r="B87" s="16">
        <v>1</v>
      </c>
      <c r="C87" s="5">
        <f t="array" ref="C87:C97">TRANSPOSE(C8:M8)</f>
        <v>4.3</v>
      </c>
      <c r="D87" s="5">
        <f>C87-$C$78</f>
        <v>-46.490909090909099</v>
      </c>
      <c r="E87" s="5">
        <f>ABS(D87)</f>
        <v>46.490909090909099</v>
      </c>
      <c r="F87" s="5">
        <f>POWER(E87,2)</f>
        <v>2161.4046280991743</v>
      </c>
      <c r="G87" s="5" t="s">
        <v>79</v>
      </c>
      <c r="H87" s="5" t="s">
        <v>79</v>
      </c>
      <c r="I87" s="5" t="s">
        <v>79</v>
      </c>
      <c r="J87" s="5" t="s">
        <v>79</v>
      </c>
    </row>
    <row r="88" spans="1:10" x14ac:dyDescent="0.2">
      <c r="A88" s="54">
        <v>2009</v>
      </c>
      <c r="B88" s="16">
        <v>2</v>
      </c>
      <c r="C88" s="5">
        <v>4</v>
      </c>
      <c r="D88" s="5">
        <f t="shared" ref="D88:D97" si="33">C88-$C$78</f>
        <v>-46.790909090909096</v>
      </c>
      <c r="E88" s="5">
        <f t="shared" ref="E88:E97" si="34">ABS(D88)</f>
        <v>46.790909090909096</v>
      </c>
      <c r="F88" s="5">
        <f t="shared" ref="F88:F97" si="35">POWER(E88,2)</f>
        <v>2189.3891735537195</v>
      </c>
      <c r="G88" s="5">
        <f>C88/C87*100</f>
        <v>93.023255813953483</v>
      </c>
      <c r="H88" s="5">
        <f>G88-$G$99</f>
        <v>-0.91141938684356205</v>
      </c>
      <c r="I88" s="5">
        <f t="shared" ref="I88:I97" si="36">ABS(H88)</f>
        <v>0.91141938684356205</v>
      </c>
      <c r="J88" s="5">
        <f t="shared" ref="J88:J97" si="37">POWER(I88,2)</f>
        <v>0.83068529871429464</v>
      </c>
    </row>
    <row r="89" spans="1:10" x14ac:dyDescent="0.2">
      <c r="A89" s="54">
        <v>2010</v>
      </c>
      <c r="B89" s="16">
        <v>3</v>
      </c>
      <c r="C89" s="5">
        <v>3.6</v>
      </c>
      <c r="D89" s="5">
        <f t="shared" si="33"/>
        <v>-47.190909090909095</v>
      </c>
      <c r="E89" s="5">
        <f t="shared" si="34"/>
        <v>47.190909090909095</v>
      </c>
      <c r="F89" s="5">
        <f t="shared" si="35"/>
        <v>2226.9819008264467</v>
      </c>
      <c r="G89" s="5">
        <f t="shared" ref="G89:G97" si="38">C89/C88*100</f>
        <v>90</v>
      </c>
      <c r="H89" s="5">
        <f t="shared" ref="H89:H97" si="39">G89-$G$99</f>
        <v>-3.9346752007970451</v>
      </c>
      <c r="I89" s="5">
        <f t="shared" si="36"/>
        <v>3.9346752007970451</v>
      </c>
      <c r="J89" s="5">
        <f t="shared" si="37"/>
        <v>15.481668935767267</v>
      </c>
    </row>
    <row r="90" spans="1:10" x14ac:dyDescent="0.2">
      <c r="A90" s="54">
        <v>2011</v>
      </c>
      <c r="B90" s="16">
        <v>4</v>
      </c>
      <c r="C90" s="5">
        <v>3.4</v>
      </c>
      <c r="D90" s="5">
        <f t="shared" si="33"/>
        <v>-47.390909090909098</v>
      </c>
      <c r="E90" s="5">
        <f t="shared" si="34"/>
        <v>47.390909090909098</v>
      </c>
      <c r="F90" s="5">
        <f t="shared" si="35"/>
        <v>2245.8982644628104</v>
      </c>
      <c r="G90" s="5">
        <f t="shared" si="38"/>
        <v>94.444444444444443</v>
      </c>
      <c r="H90" s="5">
        <f t="shared" si="39"/>
        <v>0.50976924364739773</v>
      </c>
      <c r="I90" s="5">
        <f t="shared" si="36"/>
        <v>0.50976924364739773</v>
      </c>
      <c r="J90" s="5">
        <f t="shared" si="37"/>
        <v>0.25986468176883998</v>
      </c>
    </row>
    <row r="91" spans="1:10" x14ac:dyDescent="0.2">
      <c r="A91" s="54">
        <v>2012</v>
      </c>
      <c r="B91" s="16">
        <v>5</v>
      </c>
      <c r="C91" s="5">
        <v>3.3</v>
      </c>
      <c r="D91" s="5">
        <f t="shared" si="33"/>
        <v>-47.490909090909099</v>
      </c>
      <c r="E91" s="5">
        <f>ABS(D91)</f>
        <v>47.490909090909099</v>
      </c>
      <c r="F91" s="5">
        <f t="shared" si="35"/>
        <v>2255.3864462809925</v>
      </c>
      <c r="G91" s="5">
        <f t="shared" si="38"/>
        <v>97.058823529411768</v>
      </c>
      <c r="H91" s="5">
        <f t="shared" si="39"/>
        <v>3.1241483286147229</v>
      </c>
      <c r="I91" s="5">
        <f t="shared" si="36"/>
        <v>3.1241483286147229</v>
      </c>
      <c r="J91" s="5">
        <f t="shared" si="37"/>
        <v>9.7603027791861674</v>
      </c>
    </row>
    <row r="92" spans="1:10" x14ac:dyDescent="0.2">
      <c r="A92" s="54">
        <v>2013</v>
      </c>
      <c r="B92" s="16">
        <v>6</v>
      </c>
      <c r="C92" s="5">
        <v>3.1</v>
      </c>
      <c r="D92" s="5">
        <f t="shared" si="33"/>
        <v>-47.690909090909095</v>
      </c>
      <c r="E92" s="5">
        <f t="shared" si="34"/>
        <v>47.690909090909095</v>
      </c>
      <c r="F92" s="5">
        <f>POWER(E92,2)</f>
        <v>2274.4228099173556</v>
      </c>
      <c r="G92" s="5">
        <f t="shared" si="38"/>
        <v>93.939393939393938</v>
      </c>
      <c r="H92" s="5">
        <f t="shared" si="39"/>
        <v>4.7187385968925355E-3</v>
      </c>
      <c r="I92" s="5">
        <f t="shared" si="36"/>
        <v>4.7187385968925355E-3</v>
      </c>
      <c r="J92" s="5">
        <f t="shared" si="37"/>
        <v>2.2266493945803333E-5</v>
      </c>
    </row>
    <row r="93" spans="1:10" x14ac:dyDescent="0.2">
      <c r="A93" s="54">
        <v>2014</v>
      </c>
      <c r="B93" s="16">
        <v>7</v>
      </c>
      <c r="C93" s="5">
        <v>2.7</v>
      </c>
      <c r="D93" s="5">
        <f t="shared" si="33"/>
        <v>-48.090909090909093</v>
      </c>
      <c r="E93" s="5">
        <f t="shared" si="34"/>
        <v>48.090909090909093</v>
      </c>
      <c r="F93" s="5">
        <f t="shared" si="35"/>
        <v>2312.7355371900831</v>
      </c>
      <c r="G93" s="5">
        <f t="shared" si="38"/>
        <v>87.096774193548384</v>
      </c>
      <c r="H93" s="5">
        <f t="shared" si="39"/>
        <v>-6.8379010072486608</v>
      </c>
      <c r="I93" s="5">
        <f t="shared" si="36"/>
        <v>6.8379010072486608</v>
      </c>
      <c r="J93" s="5">
        <f t="shared" si="37"/>
        <v>46.756890184932253</v>
      </c>
    </row>
    <row r="94" spans="1:10" x14ac:dyDescent="0.2">
      <c r="A94" s="54">
        <v>2015</v>
      </c>
      <c r="B94" s="16">
        <v>8</v>
      </c>
      <c r="C94" s="5">
        <v>2.6</v>
      </c>
      <c r="D94" s="5">
        <f t="shared" si="33"/>
        <v>-48.190909090909095</v>
      </c>
      <c r="E94" s="5">
        <f t="shared" si="34"/>
        <v>48.190909090909095</v>
      </c>
      <c r="F94" s="5">
        <f t="shared" si="35"/>
        <v>2322.363719008265</v>
      </c>
      <c r="G94" s="5">
        <f t="shared" si="38"/>
        <v>96.296296296296291</v>
      </c>
      <c r="H94" s="5">
        <f t="shared" si="39"/>
        <v>2.3616210954992454</v>
      </c>
      <c r="I94" s="5">
        <f t="shared" si="36"/>
        <v>2.3616210954992454</v>
      </c>
      <c r="J94" s="5">
        <f t="shared" si="37"/>
        <v>5.5772541987070561</v>
      </c>
    </row>
    <row r="95" spans="1:10" x14ac:dyDescent="0.2">
      <c r="A95" s="54">
        <v>2016</v>
      </c>
      <c r="B95" s="16">
        <v>9</v>
      </c>
      <c r="C95" s="5">
        <v>2.2999999999999998</v>
      </c>
      <c r="D95" s="5">
        <f t="shared" si="33"/>
        <v>-48.490909090909099</v>
      </c>
      <c r="E95" s="5">
        <f t="shared" si="34"/>
        <v>48.490909090909099</v>
      </c>
      <c r="F95" s="5">
        <f t="shared" si="35"/>
        <v>2351.3682644628107</v>
      </c>
      <c r="G95" s="5">
        <f t="shared" si="38"/>
        <v>88.461538461538453</v>
      </c>
      <c r="H95" s="5">
        <f t="shared" si="39"/>
        <v>-5.4731367392585923</v>
      </c>
      <c r="I95" s="5">
        <f t="shared" si="36"/>
        <v>5.4731367392585923</v>
      </c>
      <c r="J95" s="5">
        <f t="shared" si="37"/>
        <v>29.955225766622178</v>
      </c>
    </row>
    <row r="96" spans="1:10" x14ac:dyDescent="0.2">
      <c r="A96" s="54">
        <v>2017</v>
      </c>
      <c r="B96" s="16">
        <v>10</v>
      </c>
      <c r="C96" s="5">
        <v>2.2000000000000002</v>
      </c>
      <c r="D96" s="5">
        <f t="shared" si="33"/>
        <v>-48.590909090909093</v>
      </c>
      <c r="E96" s="5">
        <f t="shared" si="34"/>
        <v>48.590909090909093</v>
      </c>
      <c r="F96" s="5">
        <f t="shared" si="35"/>
        <v>2361.0764462809921</v>
      </c>
      <c r="G96" s="5">
        <f t="shared" si="38"/>
        <v>95.652173913043498</v>
      </c>
      <c r="H96" s="5">
        <f t="shared" si="39"/>
        <v>1.7174987122464529</v>
      </c>
      <c r="I96" s="5">
        <f t="shared" si="36"/>
        <v>1.7174987122464529</v>
      </c>
      <c r="J96" s="5">
        <f t="shared" si="37"/>
        <v>2.949801826568224</v>
      </c>
    </row>
    <row r="97" spans="1:10" x14ac:dyDescent="0.2">
      <c r="A97" s="54">
        <v>2018</v>
      </c>
      <c r="B97" s="16">
        <v>11</v>
      </c>
      <c r="C97" s="5">
        <v>2.2999999999999998</v>
      </c>
      <c r="D97" s="5">
        <f t="shared" si="33"/>
        <v>-48.490909090909099</v>
      </c>
      <c r="E97" s="5">
        <f t="shared" si="34"/>
        <v>48.490909090909099</v>
      </c>
      <c r="F97" s="5">
        <f t="shared" si="35"/>
        <v>2351.3682644628107</v>
      </c>
      <c r="G97" s="5">
        <f t="shared" si="38"/>
        <v>104.54545454545452</v>
      </c>
      <c r="H97" s="5">
        <f t="shared" si="39"/>
        <v>10.610779344657473</v>
      </c>
      <c r="I97" s="5">
        <f t="shared" si="36"/>
        <v>10.610779344657473</v>
      </c>
      <c r="J97" s="5">
        <f t="shared" si="37"/>
        <v>112.58863830100968</v>
      </c>
    </row>
    <row r="98" spans="1:10" x14ac:dyDescent="0.2">
      <c r="A98" s="54">
        <v>2019</v>
      </c>
      <c r="B98" s="16">
        <v>12</v>
      </c>
      <c r="C98" s="5" t="s">
        <v>79</v>
      </c>
      <c r="D98" s="5" t="s">
        <v>79</v>
      </c>
      <c r="E98" s="5" t="s">
        <v>79</v>
      </c>
      <c r="F98" s="5" t="s">
        <v>79</v>
      </c>
      <c r="G98" s="5" t="s">
        <v>79</v>
      </c>
      <c r="H98" s="5" t="s">
        <v>79</v>
      </c>
      <c r="I98" s="5" t="s">
        <v>79</v>
      </c>
      <c r="J98" s="5" t="s">
        <v>79</v>
      </c>
    </row>
    <row r="99" spans="1:10" x14ac:dyDescent="0.2">
      <c r="A99" s="54" t="s">
        <v>126</v>
      </c>
      <c r="B99" s="16">
        <v>13</v>
      </c>
      <c r="C99" s="5">
        <f>AVERAGE(C87:C97)</f>
        <v>3.0727272727272732</v>
      </c>
      <c r="D99" s="5" t="s">
        <v>79</v>
      </c>
      <c r="E99" s="5" t="s">
        <v>79</v>
      </c>
      <c r="F99" s="5" t="s">
        <v>79</v>
      </c>
      <c r="G99" s="5">
        <f>POWER(PRODUCT(G88:G97), 1/COUNTA(G88:G97))</f>
        <v>93.934675200797045</v>
      </c>
      <c r="H99" s="5" t="s">
        <v>79</v>
      </c>
      <c r="I99" s="5" t="s">
        <v>79</v>
      </c>
      <c r="J99" s="5" t="s">
        <v>79</v>
      </c>
    </row>
    <row r="100" spans="1:10" x14ac:dyDescent="0.2">
      <c r="A100" s="60"/>
      <c r="B100" s="57"/>
      <c r="C100" s="41"/>
      <c r="D100" s="41"/>
      <c r="E100" s="41"/>
      <c r="F100" s="41"/>
    </row>
    <row r="101" spans="1:10" x14ac:dyDescent="0.2">
      <c r="A101" s="6" t="s">
        <v>232</v>
      </c>
      <c r="B101" s="57"/>
      <c r="C101" s="41"/>
      <c r="D101" s="41"/>
      <c r="E101" s="41"/>
      <c r="F101" s="41"/>
    </row>
    <row r="102" spans="1:10" x14ac:dyDescent="0.2">
      <c r="A102" s="60"/>
      <c r="B102" s="57"/>
      <c r="C102" s="41"/>
      <c r="D102" s="41"/>
      <c r="E102" s="41"/>
      <c r="F102" s="41"/>
    </row>
    <row r="103" spans="1:10" x14ac:dyDescent="0.2">
      <c r="A103" s="60"/>
      <c r="B103" s="57"/>
      <c r="C103" s="41"/>
      <c r="D103" s="41"/>
      <c r="E103" s="41"/>
      <c r="F103" s="41"/>
    </row>
    <row r="104" spans="1:10" ht="15.75" x14ac:dyDescent="0.25">
      <c r="A104" s="62" t="s">
        <v>241</v>
      </c>
    </row>
    <row r="106" spans="1:10" ht="60" x14ac:dyDescent="0.2">
      <c r="A106" s="83" t="s">
        <v>191</v>
      </c>
      <c r="B106" s="84"/>
      <c r="C106" s="2" t="s">
        <v>121</v>
      </c>
      <c r="D106" s="2" t="s">
        <v>119</v>
      </c>
      <c r="E106" s="2" t="s">
        <v>120</v>
      </c>
      <c r="F106" s="2" t="s">
        <v>124</v>
      </c>
      <c r="G106" s="2" t="s">
        <v>267</v>
      </c>
      <c r="H106" s="2" t="s">
        <v>119</v>
      </c>
      <c r="I106" s="2" t="s">
        <v>120</v>
      </c>
      <c r="J106" s="2" t="s">
        <v>124</v>
      </c>
    </row>
    <row r="107" spans="1:10" x14ac:dyDescent="0.2">
      <c r="A107" s="16" t="s">
        <v>13</v>
      </c>
      <c r="B107" s="15" t="s">
        <v>14</v>
      </c>
      <c r="C107" s="16" t="s">
        <v>143</v>
      </c>
      <c r="D107" s="16">
        <v>1</v>
      </c>
      <c r="E107" s="16">
        <v>2</v>
      </c>
      <c r="F107" s="16">
        <v>3</v>
      </c>
      <c r="G107" s="16">
        <v>4</v>
      </c>
      <c r="H107" s="16">
        <v>5</v>
      </c>
      <c r="I107" s="16">
        <v>6</v>
      </c>
      <c r="J107" s="16">
        <v>7</v>
      </c>
    </row>
    <row r="108" spans="1:10" x14ac:dyDescent="0.2">
      <c r="A108" s="54">
        <v>2008</v>
      </c>
      <c r="B108" s="16">
        <v>1</v>
      </c>
      <c r="C108" s="5">
        <f t="array" ref="C108:C118">TRANSPOSE(C9:M9)</f>
        <v>124</v>
      </c>
      <c r="D108" s="5">
        <f>C108-$C$120</f>
        <v>-30.27272727272728</v>
      </c>
      <c r="E108" s="5">
        <f>ABS(D108)</f>
        <v>30.27272727272728</v>
      </c>
      <c r="F108" s="5">
        <f>POWER(E108,2)</f>
        <v>916.43801652892614</v>
      </c>
      <c r="G108" s="5" t="s">
        <v>79</v>
      </c>
      <c r="H108" s="5" t="s">
        <v>79</v>
      </c>
      <c r="I108" s="5" t="s">
        <v>79</v>
      </c>
      <c r="J108" s="5" t="s">
        <v>79</v>
      </c>
    </row>
    <row r="109" spans="1:10" x14ac:dyDescent="0.2">
      <c r="A109" s="54">
        <v>2009</v>
      </c>
      <c r="B109" s="16">
        <v>2</v>
      </c>
      <c r="C109" s="5">
        <v>108</v>
      </c>
      <c r="D109" s="5">
        <f t="shared" ref="D109:D118" si="40">C109-$C$120</f>
        <v>-46.27272727272728</v>
      </c>
      <c r="E109" s="5">
        <f t="shared" ref="E109:E118" si="41">ABS(D109)</f>
        <v>46.27272727272728</v>
      </c>
      <c r="F109" s="5">
        <f t="shared" ref="F109:F118" si="42">POWER(E109,2)</f>
        <v>2141.1652892561992</v>
      </c>
      <c r="G109" s="5">
        <f>C109/C108*100</f>
        <v>87.096774193548384</v>
      </c>
      <c r="H109" s="5">
        <f>G109-$G$120</f>
        <v>-16.642483143621575</v>
      </c>
      <c r="I109" s="5">
        <f t="shared" ref="I109:I118" si="43">ABS(H109)</f>
        <v>16.642483143621575</v>
      </c>
      <c r="J109" s="5">
        <f t="shared" ref="J109:J118" si="44">POWER(I109,2)</f>
        <v>276.9722451857283</v>
      </c>
    </row>
    <row r="110" spans="1:10" x14ac:dyDescent="0.2">
      <c r="A110" s="54">
        <v>2010</v>
      </c>
      <c r="B110" s="16">
        <v>3</v>
      </c>
      <c r="C110" s="5">
        <v>134</v>
      </c>
      <c r="D110" s="5">
        <f t="shared" si="40"/>
        <v>-20.27272727272728</v>
      </c>
      <c r="E110" s="5">
        <f t="shared" si="41"/>
        <v>20.27272727272728</v>
      </c>
      <c r="F110" s="5">
        <f t="shared" si="42"/>
        <v>410.98347107438047</v>
      </c>
      <c r="G110" s="5">
        <f t="shared" ref="G110:G118" si="45">C110/C109*100</f>
        <v>124.07407407407408</v>
      </c>
      <c r="H110" s="5">
        <f t="shared" ref="H110:H118" si="46">G110-$G$120</f>
        <v>20.334816736904116</v>
      </c>
      <c r="I110" s="5">
        <f t="shared" si="43"/>
        <v>20.334816736904116</v>
      </c>
      <c r="J110" s="5">
        <f t="shared" si="44"/>
        <v>413.50477172347576</v>
      </c>
    </row>
    <row r="111" spans="1:10" x14ac:dyDescent="0.2">
      <c r="A111" s="54">
        <v>2011</v>
      </c>
      <c r="B111" s="16">
        <v>4</v>
      </c>
      <c r="C111" s="5">
        <v>144</v>
      </c>
      <c r="D111" s="5">
        <f t="shared" si="40"/>
        <v>-10.27272727272728</v>
      </c>
      <c r="E111" s="5">
        <f t="shared" si="41"/>
        <v>10.27272727272728</v>
      </c>
      <c r="F111" s="5">
        <f t="shared" si="42"/>
        <v>105.52892561983487</v>
      </c>
      <c r="G111" s="5">
        <f t="shared" si="45"/>
        <v>107.46268656716418</v>
      </c>
      <c r="H111" s="5">
        <f t="shared" si="46"/>
        <v>3.723429229994224</v>
      </c>
      <c r="I111" s="5">
        <f t="shared" si="43"/>
        <v>3.723429229994224</v>
      </c>
      <c r="J111" s="5">
        <f t="shared" si="44"/>
        <v>13.863925230775379</v>
      </c>
    </row>
    <row r="112" spans="1:10" x14ac:dyDescent="0.2">
      <c r="A112" s="54">
        <v>2012</v>
      </c>
      <c r="B112" s="16">
        <v>5</v>
      </c>
      <c r="C112" s="5">
        <v>148</v>
      </c>
      <c r="D112" s="5">
        <f t="shared" si="40"/>
        <v>-6.2727272727272805</v>
      </c>
      <c r="E112" s="5">
        <f>ABS(D112)</f>
        <v>6.2727272727272805</v>
      </c>
      <c r="F112" s="5">
        <f t="shared" si="42"/>
        <v>39.347107438016629</v>
      </c>
      <c r="G112" s="5">
        <f t="shared" si="45"/>
        <v>102.77777777777777</v>
      </c>
      <c r="H112" s="5">
        <f t="shared" si="46"/>
        <v>-0.96147955939218832</v>
      </c>
      <c r="I112" s="5">
        <f t="shared" si="43"/>
        <v>0.96147955939218832</v>
      </c>
      <c r="J112" s="5">
        <f t="shared" si="44"/>
        <v>0.92444294312899655</v>
      </c>
    </row>
    <row r="113" spans="1:10" x14ac:dyDescent="0.2">
      <c r="A113" s="54">
        <v>2013</v>
      </c>
      <c r="B113" s="16">
        <v>6</v>
      </c>
      <c r="C113" s="5">
        <v>154</v>
      </c>
      <c r="D113" s="5">
        <f t="shared" si="40"/>
        <v>-0.27272727272728048</v>
      </c>
      <c r="E113" s="5">
        <f t="shared" si="41"/>
        <v>0.27272727272728048</v>
      </c>
      <c r="F113" s="5">
        <f>POWER(E113,2)</f>
        <v>7.4380165289260433E-2</v>
      </c>
      <c r="G113" s="5">
        <f t="shared" si="45"/>
        <v>104.05405405405406</v>
      </c>
      <c r="H113" s="5">
        <f t="shared" si="46"/>
        <v>0.31479671688410349</v>
      </c>
      <c r="I113" s="5">
        <f t="shared" si="43"/>
        <v>0.31479671688410349</v>
      </c>
      <c r="J113" s="5">
        <f t="shared" si="44"/>
        <v>9.9096972961010402E-2</v>
      </c>
    </row>
    <row r="114" spans="1:10" x14ac:dyDescent="0.2">
      <c r="A114" s="54">
        <v>2014</v>
      </c>
      <c r="B114" s="16">
        <v>7</v>
      </c>
      <c r="C114" s="5">
        <v>168</v>
      </c>
      <c r="D114" s="5">
        <f t="shared" si="40"/>
        <v>13.72727272727272</v>
      </c>
      <c r="E114" s="5">
        <f t="shared" si="41"/>
        <v>13.72727272727272</v>
      </c>
      <c r="F114" s="5">
        <f t="shared" si="42"/>
        <v>188.4380165289254</v>
      </c>
      <c r="G114" s="5">
        <f t="shared" si="45"/>
        <v>109.09090909090908</v>
      </c>
      <c r="H114" s="5">
        <f t="shared" si="46"/>
        <v>5.3516517537391195</v>
      </c>
      <c r="I114" s="5">
        <f t="shared" si="43"/>
        <v>5.3516517537391195</v>
      </c>
      <c r="J114" s="5">
        <f t="shared" si="44"/>
        <v>28.640176493298995</v>
      </c>
    </row>
    <row r="115" spans="1:10" x14ac:dyDescent="0.2">
      <c r="A115" s="54">
        <v>2015</v>
      </c>
      <c r="B115" s="16">
        <v>8</v>
      </c>
      <c r="C115" s="5">
        <v>178</v>
      </c>
      <c r="D115" s="5">
        <f t="shared" si="40"/>
        <v>23.72727272727272</v>
      </c>
      <c r="E115" s="5">
        <f t="shared" si="41"/>
        <v>23.72727272727272</v>
      </c>
      <c r="F115" s="5">
        <f t="shared" si="42"/>
        <v>562.98347107437985</v>
      </c>
      <c r="G115" s="5">
        <f t="shared" si="45"/>
        <v>105.95238095238095</v>
      </c>
      <c r="H115" s="5">
        <f t="shared" si="46"/>
        <v>2.2131236152109892</v>
      </c>
      <c r="I115" s="5">
        <f t="shared" si="43"/>
        <v>2.2131236152109892</v>
      </c>
      <c r="J115" s="5">
        <f t="shared" si="44"/>
        <v>4.8979161362045582</v>
      </c>
    </row>
    <row r="116" spans="1:10" x14ac:dyDescent="0.2">
      <c r="A116" s="54">
        <v>2016</v>
      </c>
      <c r="B116" s="16">
        <v>9</v>
      </c>
      <c r="C116" s="5">
        <v>184</v>
      </c>
      <c r="D116" s="5">
        <f t="shared" si="40"/>
        <v>29.72727272727272</v>
      </c>
      <c r="E116" s="5">
        <f t="shared" si="41"/>
        <v>29.72727272727272</v>
      </c>
      <c r="F116" s="5">
        <f t="shared" si="42"/>
        <v>883.71074380165248</v>
      </c>
      <c r="G116" s="5">
        <f t="shared" si="45"/>
        <v>103.37078651685394</v>
      </c>
      <c r="H116" s="5">
        <f t="shared" si="46"/>
        <v>-0.36847082031601985</v>
      </c>
      <c r="I116" s="5">
        <f t="shared" si="43"/>
        <v>0.36847082031601985</v>
      </c>
      <c r="J116" s="5">
        <f t="shared" si="44"/>
        <v>0.1357707454243606</v>
      </c>
    </row>
    <row r="117" spans="1:10" x14ac:dyDescent="0.2">
      <c r="A117" s="54">
        <v>2017</v>
      </c>
      <c r="B117" s="16">
        <v>10</v>
      </c>
      <c r="C117" s="5">
        <v>176</v>
      </c>
      <c r="D117" s="5">
        <f t="shared" si="40"/>
        <v>21.72727272727272</v>
      </c>
      <c r="E117" s="5">
        <f t="shared" si="41"/>
        <v>21.72727272727272</v>
      </c>
      <c r="F117" s="5">
        <f t="shared" si="42"/>
        <v>472.07438016528891</v>
      </c>
      <c r="G117" s="5">
        <f t="shared" si="45"/>
        <v>95.652173913043484</v>
      </c>
      <c r="H117" s="5">
        <f t="shared" si="46"/>
        <v>-8.087083424126476</v>
      </c>
      <c r="I117" s="5">
        <f t="shared" si="43"/>
        <v>8.087083424126476</v>
      </c>
      <c r="J117" s="5">
        <f t="shared" si="44"/>
        <v>65.4009183087812</v>
      </c>
    </row>
    <row r="118" spans="1:10" x14ac:dyDescent="0.2">
      <c r="A118" s="54">
        <v>2018</v>
      </c>
      <c r="B118" s="16">
        <v>11</v>
      </c>
      <c r="C118" s="5">
        <v>179</v>
      </c>
      <c r="D118" s="5">
        <f t="shared" si="40"/>
        <v>24.72727272727272</v>
      </c>
      <c r="E118" s="5">
        <f t="shared" si="41"/>
        <v>24.72727272727272</v>
      </c>
      <c r="F118" s="5">
        <f t="shared" si="42"/>
        <v>611.43801652892523</v>
      </c>
      <c r="G118" s="5">
        <f t="shared" si="45"/>
        <v>101.70454545454545</v>
      </c>
      <c r="H118" s="5">
        <f t="shared" si="46"/>
        <v>-2.0347118826245065</v>
      </c>
      <c r="I118" s="5">
        <f t="shared" si="43"/>
        <v>2.0347118826245065</v>
      </c>
      <c r="J118" s="5">
        <f t="shared" si="44"/>
        <v>4.1400524452933638</v>
      </c>
    </row>
    <row r="119" spans="1:10" x14ac:dyDescent="0.2">
      <c r="A119" s="54">
        <v>2019</v>
      </c>
      <c r="B119" s="16">
        <v>12</v>
      </c>
      <c r="C119" s="5" t="s">
        <v>79</v>
      </c>
      <c r="D119" s="5" t="s">
        <v>79</v>
      </c>
      <c r="E119" s="5" t="s">
        <v>79</v>
      </c>
      <c r="F119" s="5" t="s">
        <v>79</v>
      </c>
      <c r="G119" s="5" t="s">
        <v>79</v>
      </c>
      <c r="H119" s="5" t="s">
        <v>79</v>
      </c>
      <c r="I119" s="5" t="s">
        <v>79</v>
      </c>
      <c r="J119" s="5" t="s">
        <v>79</v>
      </c>
    </row>
    <row r="120" spans="1:10" x14ac:dyDescent="0.2">
      <c r="A120" s="54" t="s">
        <v>126</v>
      </c>
      <c r="B120" s="16">
        <v>13</v>
      </c>
      <c r="C120" s="5">
        <f>AVERAGE(C108:C118)</f>
        <v>154.27272727272728</v>
      </c>
      <c r="D120" s="5" t="s">
        <v>79</v>
      </c>
      <c r="E120" s="5" t="s">
        <v>79</v>
      </c>
      <c r="F120" s="5" t="s">
        <v>79</v>
      </c>
      <c r="G120" s="5">
        <f>POWER(PRODUCT(G109:G118), 1/COUNTA(G109:G118))</f>
        <v>103.73925733716996</v>
      </c>
      <c r="H120" s="5" t="s">
        <v>79</v>
      </c>
      <c r="I120" s="5" t="s">
        <v>79</v>
      </c>
      <c r="J120" s="5" t="s">
        <v>79</v>
      </c>
    </row>
    <row r="121" spans="1:10" x14ac:dyDescent="0.2">
      <c r="A121" s="60"/>
      <c r="B121" s="57"/>
      <c r="C121" s="41"/>
      <c r="D121" s="41"/>
      <c r="E121" s="41"/>
      <c r="F121" s="41"/>
    </row>
    <row r="122" spans="1:10" x14ac:dyDescent="0.2">
      <c r="A122" s="6" t="s">
        <v>232</v>
      </c>
      <c r="B122" s="57"/>
      <c r="C122" s="41"/>
      <c r="D122" s="41"/>
      <c r="E122" s="41"/>
      <c r="F122" s="41"/>
    </row>
    <row r="123" spans="1:10" x14ac:dyDescent="0.2">
      <c r="A123" s="60"/>
      <c r="B123" s="57"/>
      <c r="C123" s="41"/>
      <c r="D123" s="41"/>
      <c r="E123" s="41"/>
      <c r="F123" s="41"/>
    </row>
    <row r="124" spans="1:10" x14ac:dyDescent="0.2">
      <c r="A124" s="60"/>
      <c r="B124" s="57"/>
      <c r="C124" s="41"/>
      <c r="D124" s="41"/>
      <c r="E124" s="41"/>
      <c r="F124" s="41"/>
    </row>
    <row r="125" spans="1:10" ht="15.75" x14ac:dyDescent="0.25">
      <c r="A125" s="62" t="s">
        <v>243</v>
      </c>
    </row>
    <row r="127" spans="1:10" ht="60" x14ac:dyDescent="0.2">
      <c r="A127" s="83" t="s">
        <v>191</v>
      </c>
      <c r="B127" s="84"/>
      <c r="C127" s="2" t="s">
        <v>121</v>
      </c>
      <c r="D127" s="2" t="s">
        <v>119</v>
      </c>
      <c r="E127" s="2" t="s">
        <v>120</v>
      </c>
      <c r="F127" s="2" t="s">
        <v>124</v>
      </c>
      <c r="G127" s="2" t="s">
        <v>267</v>
      </c>
      <c r="H127" s="2" t="s">
        <v>119</v>
      </c>
      <c r="I127" s="2" t="s">
        <v>120</v>
      </c>
      <c r="J127" s="2" t="s">
        <v>124</v>
      </c>
    </row>
    <row r="128" spans="1:10" x14ac:dyDescent="0.2">
      <c r="A128" s="16" t="s">
        <v>13</v>
      </c>
      <c r="B128" s="15" t="s">
        <v>14</v>
      </c>
      <c r="C128" s="16" t="s">
        <v>143</v>
      </c>
      <c r="D128" s="16">
        <v>1</v>
      </c>
      <c r="E128" s="16">
        <v>2</v>
      </c>
      <c r="F128" s="16">
        <v>3</v>
      </c>
      <c r="G128" s="16">
        <v>4</v>
      </c>
      <c r="H128" s="16">
        <v>5</v>
      </c>
      <c r="I128" s="16">
        <v>6</v>
      </c>
      <c r="J128" s="16">
        <v>7</v>
      </c>
    </row>
    <row r="129" spans="1:10" x14ac:dyDescent="0.2">
      <c r="A129" s="54">
        <v>2008</v>
      </c>
      <c r="B129" s="16">
        <v>1</v>
      </c>
      <c r="C129" s="5">
        <f t="array" ref="C129:C139">TRANSPOSE(C10:M10)</f>
        <v>460</v>
      </c>
      <c r="D129" s="5">
        <f>C129-$C$141</f>
        <v>-63</v>
      </c>
      <c r="E129" s="5">
        <f>ABS(D129)</f>
        <v>63</v>
      </c>
      <c r="F129" s="5">
        <f>POWER(E129,2)</f>
        <v>3969</v>
      </c>
      <c r="G129" s="5" t="s">
        <v>79</v>
      </c>
      <c r="H129" s="5" t="s">
        <v>79</v>
      </c>
      <c r="I129" s="5" t="s">
        <v>79</v>
      </c>
      <c r="J129" s="5" t="s">
        <v>79</v>
      </c>
    </row>
    <row r="130" spans="1:10" x14ac:dyDescent="0.2">
      <c r="A130" s="54">
        <v>2009</v>
      </c>
      <c r="B130" s="16">
        <v>2</v>
      </c>
      <c r="C130" s="5">
        <v>408</v>
      </c>
      <c r="D130" s="5">
        <f t="shared" ref="D130:D139" si="47">C130-$C$141</f>
        <v>-115</v>
      </c>
      <c r="E130" s="5">
        <f t="shared" ref="E130:E139" si="48">ABS(D130)</f>
        <v>115</v>
      </c>
      <c r="F130" s="5">
        <f t="shared" ref="F130:F139" si="49">POWER(E130,2)</f>
        <v>13225</v>
      </c>
      <c r="G130" s="5">
        <f>C130/C129*100</f>
        <v>88.695652173913047</v>
      </c>
      <c r="H130" s="5">
        <f>G130-$G$141</f>
        <v>-13.560866082444278</v>
      </c>
      <c r="I130" s="5">
        <f t="shared" ref="I130:I139" si="50">ABS(H130)</f>
        <v>13.560866082444278</v>
      </c>
      <c r="J130" s="5">
        <f t="shared" ref="J130:J139" si="51">POWER(I130,2)</f>
        <v>183.89708890598763</v>
      </c>
    </row>
    <row r="131" spans="1:10" x14ac:dyDescent="0.2">
      <c r="A131" s="54">
        <v>2010</v>
      </c>
      <c r="B131" s="16">
        <v>3</v>
      </c>
      <c r="C131" s="5">
        <v>461</v>
      </c>
      <c r="D131" s="5">
        <f t="shared" si="47"/>
        <v>-62</v>
      </c>
      <c r="E131" s="5">
        <f t="shared" si="48"/>
        <v>62</v>
      </c>
      <c r="F131" s="5">
        <f t="shared" si="49"/>
        <v>3844</v>
      </c>
      <c r="G131" s="5">
        <f t="shared" ref="G131:G139" si="52">C131/C130*100</f>
        <v>112.99019607843137</v>
      </c>
      <c r="H131" s="5">
        <f t="shared" ref="H131:H139" si="53">G131-$G$141</f>
        <v>10.733677822074043</v>
      </c>
      <c r="I131" s="5">
        <f t="shared" si="50"/>
        <v>10.733677822074043</v>
      </c>
      <c r="J131" s="5">
        <f t="shared" si="51"/>
        <v>115.21183958808416</v>
      </c>
    </row>
    <row r="132" spans="1:10" x14ac:dyDescent="0.2">
      <c r="A132" s="54">
        <v>2011</v>
      </c>
      <c r="B132" s="16">
        <v>4</v>
      </c>
      <c r="C132" s="5">
        <v>520</v>
      </c>
      <c r="D132" s="5">
        <f t="shared" si="47"/>
        <v>-3</v>
      </c>
      <c r="E132" s="5">
        <f t="shared" si="48"/>
        <v>3</v>
      </c>
      <c r="F132" s="5">
        <f t="shared" si="49"/>
        <v>9</v>
      </c>
      <c r="G132" s="5">
        <f t="shared" si="52"/>
        <v>112.79826464208243</v>
      </c>
      <c r="H132" s="5">
        <f t="shared" si="53"/>
        <v>10.541746385725105</v>
      </c>
      <c r="I132" s="5">
        <f t="shared" si="50"/>
        <v>10.541746385725105</v>
      </c>
      <c r="J132" s="5">
        <f t="shared" si="51"/>
        <v>111.12841686094832</v>
      </c>
    </row>
    <row r="133" spans="1:10" x14ac:dyDescent="0.2">
      <c r="A133" s="54">
        <v>2012</v>
      </c>
      <c r="B133" s="16">
        <v>5</v>
      </c>
      <c r="C133" s="5">
        <v>547</v>
      </c>
      <c r="D133" s="5">
        <f t="shared" si="47"/>
        <v>24</v>
      </c>
      <c r="E133" s="5">
        <f>ABS(D133)</f>
        <v>24</v>
      </c>
      <c r="F133" s="5">
        <f t="shared" si="49"/>
        <v>576</v>
      </c>
      <c r="G133" s="5">
        <f t="shared" si="52"/>
        <v>105.19230769230769</v>
      </c>
      <c r="H133" s="5">
        <f t="shared" si="53"/>
        <v>2.9357894359503689</v>
      </c>
      <c r="I133" s="5">
        <f t="shared" si="50"/>
        <v>2.9357894359503689</v>
      </c>
      <c r="J133" s="5">
        <f t="shared" si="51"/>
        <v>8.6188596122377845</v>
      </c>
    </row>
    <row r="134" spans="1:10" x14ac:dyDescent="0.2">
      <c r="A134" s="54">
        <v>2013</v>
      </c>
      <c r="B134" s="16">
        <v>6</v>
      </c>
      <c r="C134" s="5">
        <v>536</v>
      </c>
      <c r="D134" s="5">
        <f t="shared" si="47"/>
        <v>13</v>
      </c>
      <c r="E134" s="5">
        <f t="shared" si="48"/>
        <v>13</v>
      </c>
      <c r="F134" s="5">
        <f>POWER(E134,2)</f>
        <v>169</v>
      </c>
      <c r="G134" s="5">
        <f t="shared" si="52"/>
        <v>97.989031078610594</v>
      </c>
      <c r="H134" s="5">
        <f t="shared" si="53"/>
        <v>-4.2674871777467303</v>
      </c>
      <c r="I134" s="5">
        <f t="shared" si="50"/>
        <v>4.2674871777467303</v>
      </c>
      <c r="J134" s="5">
        <f t="shared" si="51"/>
        <v>18.211446812232754</v>
      </c>
    </row>
    <row r="135" spans="1:10" x14ac:dyDescent="0.2">
      <c r="A135" s="54">
        <v>2014</v>
      </c>
      <c r="B135" s="16">
        <v>7</v>
      </c>
      <c r="C135" s="5">
        <v>541</v>
      </c>
      <c r="D135" s="5">
        <f t="shared" si="47"/>
        <v>18</v>
      </c>
      <c r="E135" s="5">
        <f t="shared" si="48"/>
        <v>18</v>
      </c>
      <c r="F135" s="5">
        <f t="shared" si="49"/>
        <v>324</v>
      </c>
      <c r="G135" s="5">
        <f t="shared" si="52"/>
        <v>100.93283582089552</v>
      </c>
      <c r="H135" s="5">
        <f t="shared" si="53"/>
        <v>-1.3236824354618051</v>
      </c>
      <c r="I135" s="5">
        <f t="shared" si="50"/>
        <v>1.3236824354618051</v>
      </c>
      <c r="J135" s="5">
        <f t="shared" si="51"/>
        <v>1.7521351899500959</v>
      </c>
    </row>
    <row r="136" spans="1:10" x14ac:dyDescent="0.2">
      <c r="A136" s="54">
        <v>2015</v>
      </c>
      <c r="B136" s="16">
        <v>8</v>
      </c>
      <c r="C136" s="5">
        <v>565</v>
      </c>
      <c r="D136" s="5">
        <f t="shared" si="47"/>
        <v>42</v>
      </c>
      <c r="E136" s="5">
        <f t="shared" si="48"/>
        <v>42</v>
      </c>
      <c r="F136" s="5">
        <f t="shared" si="49"/>
        <v>1764</v>
      </c>
      <c r="G136" s="5">
        <f t="shared" si="52"/>
        <v>104.43622920517559</v>
      </c>
      <c r="H136" s="5">
        <f t="shared" si="53"/>
        <v>2.1797109488182684</v>
      </c>
      <c r="I136" s="5">
        <f t="shared" si="50"/>
        <v>2.1797109488182684</v>
      </c>
      <c r="J136" s="5">
        <f t="shared" si="51"/>
        <v>4.7511398203982358</v>
      </c>
    </row>
    <row r="137" spans="1:10" x14ac:dyDescent="0.2">
      <c r="A137" s="54">
        <v>2016</v>
      </c>
      <c r="B137" s="16">
        <v>9</v>
      </c>
      <c r="C137" s="5">
        <v>584</v>
      </c>
      <c r="D137" s="5">
        <f t="shared" si="47"/>
        <v>61</v>
      </c>
      <c r="E137" s="5">
        <f t="shared" si="48"/>
        <v>61</v>
      </c>
      <c r="F137" s="5">
        <f t="shared" si="49"/>
        <v>3721</v>
      </c>
      <c r="G137" s="5">
        <f t="shared" si="52"/>
        <v>103.36283185840709</v>
      </c>
      <c r="H137" s="5">
        <f t="shared" si="53"/>
        <v>1.1063136020497666</v>
      </c>
      <c r="I137" s="5">
        <f t="shared" si="50"/>
        <v>1.1063136020497666</v>
      </c>
      <c r="J137" s="5">
        <f t="shared" si="51"/>
        <v>1.2239297860803293</v>
      </c>
    </row>
    <row r="138" spans="1:10" x14ac:dyDescent="0.2">
      <c r="A138" s="54">
        <v>2017</v>
      </c>
      <c r="B138" s="16">
        <v>10</v>
      </c>
      <c r="C138" s="5">
        <v>556</v>
      </c>
      <c r="D138" s="5">
        <f t="shared" si="47"/>
        <v>33</v>
      </c>
      <c r="E138" s="5">
        <f t="shared" si="48"/>
        <v>33</v>
      </c>
      <c r="F138" s="5">
        <f t="shared" si="49"/>
        <v>1089</v>
      </c>
      <c r="G138" s="5">
        <f t="shared" si="52"/>
        <v>95.205479452054803</v>
      </c>
      <c r="H138" s="5">
        <f t="shared" si="53"/>
        <v>-7.0510388043025216</v>
      </c>
      <c r="I138" s="5">
        <f t="shared" si="50"/>
        <v>7.0510388043025216</v>
      </c>
      <c r="J138" s="5">
        <f t="shared" si="51"/>
        <v>49.717148219779936</v>
      </c>
    </row>
    <row r="139" spans="1:10" x14ac:dyDescent="0.2">
      <c r="A139" s="54">
        <v>2018</v>
      </c>
      <c r="B139" s="16">
        <v>11</v>
      </c>
      <c r="C139" s="5">
        <v>575</v>
      </c>
      <c r="D139" s="5">
        <f t="shared" si="47"/>
        <v>52</v>
      </c>
      <c r="E139" s="5">
        <f t="shared" si="48"/>
        <v>52</v>
      </c>
      <c r="F139" s="5">
        <f t="shared" si="49"/>
        <v>2704</v>
      </c>
      <c r="G139" s="5">
        <f t="shared" si="52"/>
        <v>103.41726618705036</v>
      </c>
      <c r="H139" s="5">
        <f t="shared" si="53"/>
        <v>1.1607479306930344</v>
      </c>
      <c r="I139" s="5">
        <f t="shared" si="50"/>
        <v>1.1607479306930344</v>
      </c>
      <c r="J139" s="5">
        <f t="shared" si="51"/>
        <v>1.3473357586081613</v>
      </c>
    </row>
    <row r="140" spans="1:10" x14ac:dyDescent="0.2">
      <c r="A140" s="54">
        <v>2019</v>
      </c>
      <c r="B140" s="16">
        <v>12</v>
      </c>
      <c r="C140" s="5" t="s">
        <v>79</v>
      </c>
      <c r="D140" s="5" t="s">
        <v>79</v>
      </c>
      <c r="E140" s="5" t="s">
        <v>79</v>
      </c>
      <c r="F140" s="5" t="s">
        <v>79</v>
      </c>
      <c r="G140" s="5" t="s">
        <v>79</v>
      </c>
      <c r="H140" s="5" t="s">
        <v>79</v>
      </c>
      <c r="I140" s="5" t="s">
        <v>79</v>
      </c>
      <c r="J140" s="5" t="s">
        <v>79</v>
      </c>
    </row>
    <row r="141" spans="1:10" x14ac:dyDescent="0.2">
      <c r="A141" s="54" t="s">
        <v>126</v>
      </c>
      <c r="B141" s="16">
        <v>13</v>
      </c>
      <c r="C141" s="5">
        <f>AVERAGE(C129:C139)</f>
        <v>523</v>
      </c>
      <c r="D141" s="5" t="s">
        <v>79</v>
      </c>
      <c r="E141" s="5" t="s">
        <v>79</v>
      </c>
      <c r="F141" s="5" t="s">
        <v>79</v>
      </c>
      <c r="G141" s="5">
        <f>POWER(PRODUCT(G130:G139), 1/COUNTA(G130:G139))</f>
        <v>102.25651825635732</v>
      </c>
      <c r="H141" s="5" t="s">
        <v>79</v>
      </c>
      <c r="I141" s="5" t="s">
        <v>79</v>
      </c>
      <c r="J141" s="5" t="s">
        <v>79</v>
      </c>
    </row>
    <row r="142" spans="1:10" x14ac:dyDescent="0.2">
      <c r="A142" s="60"/>
      <c r="B142" s="57"/>
      <c r="C142" s="41"/>
      <c r="D142" s="41"/>
      <c r="E142" s="41"/>
      <c r="F142" s="41"/>
    </row>
    <row r="143" spans="1:10" x14ac:dyDescent="0.2">
      <c r="A143" s="6" t="s">
        <v>232</v>
      </c>
      <c r="B143" s="57"/>
      <c r="C143" s="41"/>
      <c r="D143" s="41"/>
      <c r="E143" s="41"/>
      <c r="F143" s="41"/>
    </row>
    <row r="144" spans="1:10" x14ac:dyDescent="0.2">
      <c r="A144" s="60"/>
      <c r="B144" s="57"/>
      <c r="C144" s="41"/>
      <c r="D144" s="41"/>
      <c r="E144" s="41"/>
      <c r="F144" s="41"/>
    </row>
    <row r="145" spans="1:10" x14ac:dyDescent="0.2">
      <c r="A145" s="60"/>
      <c r="B145" s="57"/>
      <c r="C145" s="41"/>
      <c r="D145" s="41"/>
      <c r="E145" s="41"/>
      <c r="F145" s="41"/>
    </row>
    <row r="146" spans="1:10" ht="15.75" x14ac:dyDescent="0.25">
      <c r="A146" s="62" t="s">
        <v>245</v>
      </c>
    </row>
    <row r="148" spans="1:10" ht="60" x14ac:dyDescent="0.2">
      <c r="A148" s="83" t="s">
        <v>191</v>
      </c>
      <c r="B148" s="84"/>
      <c r="C148" s="2" t="s">
        <v>121</v>
      </c>
      <c r="D148" s="2" t="s">
        <v>119</v>
      </c>
      <c r="E148" s="2" t="s">
        <v>120</v>
      </c>
      <c r="F148" s="2" t="s">
        <v>124</v>
      </c>
      <c r="G148" s="2" t="s">
        <v>267</v>
      </c>
      <c r="H148" s="2" t="s">
        <v>119</v>
      </c>
      <c r="I148" s="2" t="s">
        <v>120</v>
      </c>
      <c r="J148" s="2" t="s">
        <v>124</v>
      </c>
    </row>
    <row r="149" spans="1:10" x14ac:dyDescent="0.2">
      <c r="A149" s="16" t="s">
        <v>13</v>
      </c>
      <c r="B149" s="15" t="s">
        <v>14</v>
      </c>
      <c r="C149" s="16" t="s">
        <v>143</v>
      </c>
      <c r="D149" s="16">
        <v>1</v>
      </c>
      <c r="E149" s="16">
        <v>2</v>
      </c>
      <c r="F149" s="16">
        <v>3</v>
      </c>
      <c r="G149" s="16">
        <v>4</v>
      </c>
      <c r="H149" s="16">
        <v>5</v>
      </c>
      <c r="I149" s="16">
        <v>6</v>
      </c>
      <c r="J149" s="16">
        <v>7</v>
      </c>
    </row>
    <row r="150" spans="1:10" x14ac:dyDescent="0.2">
      <c r="A150" s="54">
        <v>2008</v>
      </c>
      <c r="B150" s="16">
        <v>1</v>
      </c>
      <c r="C150" s="5">
        <f t="array" ref="C150:C160">TRANSPOSE(C11:M11)</f>
        <v>245</v>
      </c>
      <c r="D150" s="5">
        <f>C150-$C$162</f>
        <v>-198.18181818181819</v>
      </c>
      <c r="E150" s="5">
        <f>ABS(D150)</f>
        <v>198.18181818181819</v>
      </c>
      <c r="F150" s="5">
        <f>POWER(E150,2)</f>
        <v>39276.033057851244</v>
      </c>
      <c r="G150" s="5" t="s">
        <v>79</v>
      </c>
      <c r="H150" s="5" t="s">
        <v>79</v>
      </c>
      <c r="I150" s="5" t="s">
        <v>79</v>
      </c>
      <c r="J150" s="5" t="s">
        <v>79</v>
      </c>
    </row>
    <row r="151" spans="1:10" x14ac:dyDescent="0.2">
      <c r="A151" s="54">
        <v>2009</v>
      </c>
      <c r="B151" s="16">
        <v>2</v>
      </c>
      <c r="C151" s="5">
        <v>264</v>
      </c>
      <c r="D151" s="5">
        <f t="shared" ref="D151:D160" si="54">C151-$C$162</f>
        <v>-179.18181818181819</v>
      </c>
      <c r="E151" s="5">
        <f t="shared" ref="E151:E160" si="55">ABS(D151)</f>
        <v>179.18181818181819</v>
      </c>
      <c r="F151" s="5">
        <f t="shared" ref="F151:F160" si="56">POWER(E151,2)</f>
        <v>32106.123966942152</v>
      </c>
      <c r="G151" s="5">
        <f>C151/C150*100</f>
        <v>107.75510204081633</v>
      </c>
      <c r="H151" s="5">
        <f>G151-$G$162</f>
        <v>-2.7623374540182937</v>
      </c>
      <c r="I151" s="5">
        <f t="shared" ref="I151:I160" si="57">ABS(H151)</f>
        <v>2.7623374540182937</v>
      </c>
      <c r="J151" s="5">
        <f t="shared" ref="J151:J160" si="58">POWER(I151,2)</f>
        <v>7.6305082098722687</v>
      </c>
    </row>
    <row r="152" spans="1:10" x14ac:dyDescent="0.2">
      <c r="A152" s="54">
        <v>2010</v>
      </c>
      <c r="B152" s="16">
        <v>3</v>
      </c>
      <c r="C152" s="5">
        <v>330</v>
      </c>
      <c r="D152" s="5">
        <f t="shared" si="54"/>
        <v>-113.18181818181819</v>
      </c>
      <c r="E152" s="5">
        <f t="shared" si="55"/>
        <v>113.18181818181819</v>
      </c>
      <c r="F152" s="5">
        <f t="shared" si="56"/>
        <v>12810.12396694215</v>
      </c>
      <c r="G152" s="5">
        <f t="shared" ref="G152:G160" si="59">C152/C151*100</f>
        <v>125</v>
      </c>
      <c r="H152" s="5">
        <f t="shared" ref="H152:H160" si="60">G152-$G$162</f>
        <v>14.482560505165381</v>
      </c>
      <c r="I152" s="5">
        <f t="shared" si="57"/>
        <v>14.482560505165381</v>
      </c>
      <c r="J152" s="5">
        <f t="shared" si="58"/>
        <v>209.74455878577612</v>
      </c>
    </row>
    <row r="153" spans="1:10" x14ac:dyDescent="0.2">
      <c r="A153" s="54">
        <v>2011</v>
      </c>
      <c r="B153" s="16">
        <v>4</v>
      </c>
      <c r="C153" s="5">
        <v>343</v>
      </c>
      <c r="D153" s="5">
        <f t="shared" si="54"/>
        <v>-100.18181818181819</v>
      </c>
      <c r="E153" s="5">
        <f t="shared" si="55"/>
        <v>100.18181818181819</v>
      </c>
      <c r="F153" s="5">
        <f t="shared" si="56"/>
        <v>10036.396694214876</v>
      </c>
      <c r="G153" s="5">
        <f t="shared" si="59"/>
        <v>103.93939393939394</v>
      </c>
      <c r="H153" s="5">
        <f t="shared" si="60"/>
        <v>-6.5780455554406814</v>
      </c>
      <c r="I153" s="5">
        <f t="shared" si="57"/>
        <v>6.5780455554406814</v>
      </c>
      <c r="J153" s="5">
        <f t="shared" si="58"/>
        <v>43.270683329452901</v>
      </c>
    </row>
    <row r="154" spans="1:10" x14ac:dyDescent="0.2">
      <c r="A154" s="54">
        <v>2012</v>
      </c>
      <c r="B154" s="16">
        <v>5</v>
      </c>
      <c r="C154" s="5">
        <v>388</v>
      </c>
      <c r="D154" s="5">
        <f t="shared" si="54"/>
        <v>-55.181818181818187</v>
      </c>
      <c r="E154" s="5">
        <f>ABS(D154)</f>
        <v>55.181818181818187</v>
      </c>
      <c r="F154" s="5">
        <f t="shared" si="56"/>
        <v>3045.0330578512403</v>
      </c>
      <c r="G154" s="5">
        <f t="shared" si="59"/>
        <v>113.11953352769679</v>
      </c>
      <c r="H154" s="5">
        <f t="shared" si="60"/>
        <v>2.6020940328621691</v>
      </c>
      <c r="I154" s="5">
        <f t="shared" si="57"/>
        <v>2.6020940328621691</v>
      </c>
      <c r="J154" s="5">
        <f t="shared" si="58"/>
        <v>6.7708933558569075</v>
      </c>
    </row>
    <row r="155" spans="1:10" x14ac:dyDescent="0.2">
      <c r="A155" s="54">
        <v>2013</v>
      </c>
      <c r="B155" s="16">
        <v>6</v>
      </c>
      <c r="C155" s="5">
        <v>448</v>
      </c>
      <c r="D155" s="5">
        <f t="shared" si="54"/>
        <v>4.818181818181813</v>
      </c>
      <c r="E155" s="5">
        <f t="shared" si="55"/>
        <v>4.818181818181813</v>
      </c>
      <c r="F155" s="5">
        <f>POWER(E155,2)</f>
        <v>23.214876033057802</v>
      </c>
      <c r="G155" s="5">
        <f t="shared" si="59"/>
        <v>115.46391752577318</v>
      </c>
      <c r="H155" s="5">
        <f t="shared" si="60"/>
        <v>4.9464780309385645</v>
      </c>
      <c r="I155" s="5">
        <f t="shared" si="57"/>
        <v>4.9464780309385645</v>
      </c>
      <c r="J155" s="5">
        <f t="shared" si="58"/>
        <v>24.467644910557858</v>
      </c>
    </row>
    <row r="156" spans="1:10" x14ac:dyDescent="0.2">
      <c r="A156" s="54">
        <v>2014</v>
      </c>
      <c r="B156" s="16">
        <v>7</v>
      </c>
      <c r="C156" s="5">
        <v>524</v>
      </c>
      <c r="D156" s="5">
        <f t="shared" si="54"/>
        <v>80.818181818181813</v>
      </c>
      <c r="E156" s="5">
        <f t="shared" si="55"/>
        <v>80.818181818181813</v>
      </c>
      <c r="F156" s="5">
        <f t="shared" si="56"/>
        <v>6531.5785123966934</v>
      </c>
      <c r="G156" s="5">
        <f t="shared" si="59"/>
        <v>116.96428571428572</v>
      </c>
      <c r="H156" s="5">
        <f t="shared" si="60"/>
        <v>6.4468462194511034</v>
      </c>
      <c r="I156" s="5">
        <f t="shared" si="57"/>
        <v>6.4468462194511034</v>
      </c>
      <c r="J156" s="5">
        <f t="shared" si="58"/>
        <v>41.561826177250985</v>
      </c>
    </row>
    <row r="157" spans="1:10" x14ac:dyDescent="0.2">
      <c r="A157" s="54">
        <v>2015</v>
      </c>
      <c r="B157" s="16">
        <v>8</v>
      </c>
      <c r="C157" s="5">
        <v>560</v>
      </c>
      <c r="D157" s="5">
        <f t="shared" si="54"/>
        <v>116.81818181818181</v>
      </c>
      <c r="E157" s="5">
        <f t="shared" si="55"/>
        <v>116.81818181818181</v>
      </c>
      <c r="F157" s="5">
        <f t="shared" si="56"/>
        <v>13646.487603305784</v>
      </c>
      <c r="G157" s="5">
        <f t="shared" si="59"/>
        <v>106.87022900763358</v>
      </c>
      <c r="H157" s="5">
        <f t="shared" si="60"/>
        <v>-3.6472104872010362</v>
      </c>
      <c r="I157" s="5">
        <f t="shared" si="57"/>
        <v>3.6472104872010362</v>
      </c>
      <c r="J157" s="5">
        <f t="shared" si="58"/>
        <v>13.302144337949221</v>
      </c>
    </row>
    <row r="158" spans="1:10" x14ac:dyDescent="0.2">
      <c r="A158" s="54">
        <v>2016</v>
      </c>
      <c r="B158" s="16">
        <v>9</v>
      </c>
      <c r="C158" s="5">
        <v>538</v>
      </c>
      <c r="D158" s="5">
        <f t="shared" si="54"/>
        <v>94.818181818181813</v>
      </c>
      <c r="E158" s="5">
        <f t="shared" si="55"/>
        <v>94.818181818181813</v>
      </c>
      <c r="F158" s="5">
        <f t="shared" si="56"/>
        <v>8990.4876033057844</v>
      </c>
      <c r="G158" s="5">
        <f t="shared" si="59"/>
        <v>96.071428571428569</v>
      </c>
      <c r="H158" s="5">
        <f t="shared" si="60"/>
        <v>-14.44601092340605</v>
      </c>
      <c r="I158" s="5">
        <f t="shared" si="57"/>
        <v>14.44601092340605</v>
      </c>
      <c r="J158" s="5">
        <f t="shared" si="58"/>
        <v>208.68723159916692</v>
      </c>
    </row>
    <row r="159" spans="1:10" x14ac:dyDescent="0.2">
      <c r="A159" s="54">
        <v>2017</v>
      </c>
      <c r="B159" s="16">
        <v>10</v>
      </c>
      <c r="C159" s="5">
        <v>569</v>
      </c>
      <c r="D159" s="5">
        <f t="shared" si="54"/>
        <v>125.81818181818181</v>
      </c>
      <c r="E159" s="5">
        <f t="shared" si="55"/>
        <v>125.81818181818181</v>
      </c>
      <c r="F159" s="5">
        <f t="shared" si="56"/>
        <v>15830.214876033056</v>
      </c>
      <c r="G159" s="5">
        <f t="shared" si="59"/>
        <v>105.76208178438662</v>
      </c>
      <c r="H159" s="5">
        <f t="shared" si="60"/>
        <v>-4.7553577104479956</v>
      </c>
      <c r="I159" s="5">
        <f t="shared" si="57"/>
        <v>4.7553577104479956</v>
      </c>
      <c r="J159" s="5">
        <f t="shared" si="58"/>
        <v>22.613426954317202</v>
      </c>
    </row>
    <row r="160" spans="1:10" x14ac:dyDescent="0.2">
      <c r="A160" s="54">
        <v>2018</v>
      </c>
      <c r="B160" s="16">
        <v>11</v>
      </c>
      <c r="C160" s="5">
        <v>666</v>
      </c>
      <c r="D160" s="5">
        <f t="shared" si="54"/>
        <v>222.81818181818181</v>
      </c>
      <c r="E160" s="5">
        <f t="shared" si="55"/>
        <v>222.81818181818181</v>
      </c>
      <c r="F160" s="5">
        <f t="shared" si="56"/>
        <v>49647.942148760325</v>
      </c>
      <c r="G160" s="5">
        <f t="shared" si="59"/>
        <v>117.04745166959579</v>
      </c>
      <c r="H160" s="5">
        <f t="shared" si="60"/>
        <v>6.5300121747611684</v>
      </c>
      <c r="I160" s="5">
        <f t="shared" si="57"/>
        <v>6.5300121747611684</v>
      </c>
      <c r="J160" s="5">
        <f t="shared" si="58"/>
        <v>42.641059002529083</v>
      </c>
    </row>
    <row r="161" spans="1:10" x14ac:dyDescent="0.2">
      <c r="A161" s="54">
        <v>2019</v>
      </c>
      <c r="B161" s="16">
        <v>12</v>
      </c>
      <c r="C161" s="5" t="s">
        <v>79</v>
      </c>
      <c r="D161" s="5" t="s">
        <v>79</v>
      </c>
      <c r="E161" s="5" t="s">
        <v>79</v>
      </c>
      <c r="F161" s="5" t="s">
        <v>79</v>
      </c>
      <c r="G161" s="5" t="s">
        <v>79</v>
      </c>
      <c r="H161" s="5" t="s">
        <v>79</v>
      </c>
      <c r="I161" s="5" t="s">
        <v>79</v>
      </c>
      <c r="J161" s="5" t="s">
        <v>79</v>
      </c>
    </row>
    <row r="162" spans="1:10" x14ac:dyDescent="0.2">
      <c r="A162" s="54" t="s">
        <v>126</v>
      </c>
      <c r="B162" s="16">
        <v>13</v>
      </c>
      <c r="C162" s="5">
        <f>AVERAGE(C150:C160)</f>
        <v>443.18181818181819</v>
      </c>
      <c r="D162" s="5" t="s">
        <v>79</v>
      </c>
      <c r="E162" s="5" t="s">
        <v>79</v>
      </c>
      <c r="F162" s="5" t="s">
        <v>79</v>
      </c>
      <c r="G162" s="5">
        <f>POWER(PRODUCT(G151:G160), 1/COUNTA(G151:G160))</f>
        <v>110.51743949483462</v>
      </c>
      <c r="H162" s="5" t="s">
        <v>79</v>
      </c>
      <c r="I162" s="5" t="s">
        <v>79</v>
      </c>
      <c r="J162" s="5" t="s">
        <v>79</v>
      </c>
    </row>
    <row r="163" spans="1:10" x14ac:dyDescent="0.2">
      <c r="A163" s="60"/>
      <c r="B163" s="57"/>
      <c r="C163" s="41"/>
      <c r="D163" s="41"/>
      <c r="E163" s="41"/>
      <c r="F163" s="41"/>
    </row>
    <row r="164" spans="1:10" x14ac:dyDescent="0.2">
      <c r="A164" s="6" t="s">
        <v>232</v>
      </c>
      <c r="B164" s="57"/>
      <c r="C164" s="41"/>
      <c r="D164" s="41"/>
      <c r="E164" s="41"/>
      <c r="F164" s="41"/>
    </row>
    <row r="165" spans="1:10" x14ac:dyDescent="0.2">
      <c r="A165" s="60"/>
      <c r="B165" s="57"/>
      <c r="C165" s="41"/>
      <c r="D165" s="41"/>
      <c r="E165" s="41"/>
      <c r="F165" s="41"/>
    </row>
    <row r="166" spans="1:10" x14ac:dyDescent="0.2">
      <c r="A166" s="60"/>
      <c r="B166" s="57"/>
      <c r="C166" s="41"/>
      <c r="D166" s="41"/>
      <c r="E166" s="41"/>
      <c r="F166" s="41"/>
    </row>
    <row r="167" spans="1:10" ht="15.75" x14ac:dyDescent="0.25">
      <c r="A167" s="62" t="s">
        <v>247</v>
      </c>
    </row>
    <row r="169" spans="1:10" ht="60" x14ac:dyDescent="0.2">
      <c r="A169" s="83" t="s">
        <v>191</v>
      </c>
      <c r="B169" s="84"/>
      <c r="C169" s="2" t="s">
        <v>121</v>
      </c>
      <c r="D169" s="2" t="s">
        <v>119</v>
      </c>
      <c r="E169" s="2" t="s">
        <v>120</v>
      </c>
      <c r="F169" s="2" t="s">
        <v>124</v>
      </c>
      <c r="G169" s="2" t="s">
        <v>267</v>
      </c>
      <c r="H169" s="2" t="s">
        <v>119</v>
      </c>
      <c r="I169" s="2" t="s">
        <v>120</v>
      </c>
      <c r="J169" s="2" t="s">
        <v>124</v>
      </c>
    </row>
    <row r="170" spans="1:10" x14ac:dyDescent="0.2">
      <c r="A170" s="16" t="s">
        <v>13</v>
      </c>
      <c r="B170" s="15" t="s">
        <v>14</v>
      </c>
      <c r="C170" s="16" t="s">
        <v>143</v>
      </c>
      <c r="D170" s="16">
        <v>1</v>
      </c>
      <c r="E170" s="16">
        <v>2</v>
      </c>
      <c r="F170" s="16">
        <v>3</v>
      </c>
      <c r="G170" s="16">
        <v>4</v>
      </c>
      <c r="H170" s="16">
        <v>5</v>
      </c>
      <c r="I170" s="16">
        <v>6</v>
      </c>
      <c r="J170" s="16">
        <v>7</v>
      </c>
    </row>
    <row r="171" spans="1:10" x14ac:dyDescent="0.2">
      <c r="A171" s="54">
        <v>2008</v>
      </c>
      <c r="B171" s="16">
        <v>1</v>
      </c>
      <c r="C171" s="5">
        <f t="array" ref="C171:C181">TRANSPOSE(C12:M12)</f>
        <v>195</v>
      </c>
      <c r="D171" s="5">
        <f>C171-$C$183</f>
        <v>-6.4545454545454675</v>
      </c>
      <c r="E171" s="5">
        <f>ABS(D171)</f>
        <v>6.4545454545454675</v>
      </c>
      <c r="F171" s="5">
        <f>POWER(E171,2)</f>
        <v>41.661157024793553</v>
      </c>
      <c r="G171" s="5" t="s">
        <v>79</v>
      </c>
      <c r="H171" s="5" t="s">
        <v>79</v>
      </c>
      <c r="I171" s="5" t="s">
        <v>79</v>
      </c>
      <c r="J171" s="5" t="s">
        <v>79</v>
      </c>
    </row>
    <row r="172" spans="1:10" x14ac:dyDescent="0.2">
      <c r="A172" s="54">
        <v>2009</v>
      </c>
      <c r="B172" s="16">
        <v>2</v>
      </c>
      <c r="C172" s="5">
        <v>190</v>
      </c>
      <c r="D172" s="5">
        <f t="shared" ref="D172:D181" si="61">C172-$C$183</f>
        <v>-11.454545454545467</v>
      </c>
      <c r="E172" s="5">
        <f t="shared" ref="E172:E181" si="62">ABS(D172)</f>
        <v>11.454545454545467</v>
      </c>
      <c r="F172" s="5">
        <f t="shared" ref="F172:F181" si="63">POWER(E172,2)</f>
        <v>131.20661157024824</v>
      </c>
      <c r="G172" s="5">
        <f>C172/C171*100</f>
        <v>97.435897435897431</v>
      </c>
      <c r="H172" s="5">
        <f>G172-$G$183</f>
        <v>-2.1991940221165152</v>
      </c>
      <c r="I172" s="5">
        <f t="shared" ref="I172:I181" si="64">ABS(H172)</f>
        <v>2.1991940221165152</v>
      </c>
      <c r="J172" s="5">
        <f t="shared" ref="J172:J181" si="65">POWER(I172,2)</f>
        <v>4.8364543469130155</v>
      </c>
    </row>
    <row r="173" spans="1:10" x14ac:dyDescent="0.2">
      <c r="A173" s="54">
        <v>2010</v>
      </c>
      <c r="B173" s="16">
        <v>3</v>
      </c>
      <c r="C173" s="5">
        <v>203</v>
      </c>
      <c r="D173" s="5">
        <f t="shared" si="61"/>
        <v>1.5454545454545325</v>
      </c>
      <c r="E173" s="5">
        <f t="shared" si="62"/>
        <v>1.5454545454545325</v>
      </c>
      <c r="F173" s="5">
        <f t="shared" si="63"/>
        <v>2.3884297520660756</v>
      </c>
      <c r="G173" s="5">
        <f t="shared" ref="G173:G181" si="66">C173/C172*100</f>
        <v>106.84210526315789</v>
      </c>
      <c r="H173" s="5">
        <f t="shared" ref="H173:H181" si="67">G173-$G$183</f>
        <v>7.2070138051439443</v>
      </c>
      <c r="I173" s="5">
        <f t="shared" si="64"/>
        <v>7.2070138051439443</v>
      </c>
      <c r="J173" s="5">
        <f t="shared" si="65"/>
        <v>51.941047987535399</v>
      </c>
    </row>
    <row r="174" spans="1:10" x14ac:dyDescent="0.2">
      <c r="A174" s="54">
        <v>2011</v>
      </c>
      <c r="B174" s="16">
        <v>4</v>
      </c>
      <c r="C174" s="5">
        <v>203</v>
      </c>
      <c r="D174" s="5">
        <f t="shared" si="61"/>
        <v>1.5454545454545325</v>
      </c>
      <c r="E174" s="5">
        <f t="shared" si="62"/>
        <v>1.5454545454545325</v>
      </c>
      <c r="F174" s="5">
        <f t="shared" si="63"/>
        <v>2.3884297520660756</v>
      </c>
      <c r="G174" s="5">
        <f t="shared" si="66"/>
        <v>100</v>
      </c>
      <c r="H174" s="5">
        <f t="shared" si="67"/>
        <v>0.36490854198605405</v>
      </c>
      <c r="I174" s="5">
        <f t="shared" si="64"/>
        <v>0.36490854198605405</v>
      </c>
      <c r="J174" s="5">
        <f t="shared" si="65"/>
        <v>0.13315824401438778</v>
      </c>
    </row>
    <row r="175" spans="1:10" x14ac:dyDescent="0.2">
      <c r="A175" s="54">
        <v>2012</v>
      </c>
      <c r="B175" s="16">
        <v>5</v>
      </c>
      <c r="C175" s="5">
        <v>208</v>
      </c>
      <c r="D175" s="5">
        <f t="shared" si="61"/>
        <v>6.5454545454545325</v>
      </c>
      <c r="E175" s="5">
        <f>ABS(D175)</f>
        <v>6.5454545454545325</v>
      </c>
      <c r="F175" s="5">
        <f t="shared" si="63"/>
        <v>42.842975206611399</v>
      </c>
      <c r="G175" s="5">
        <f t="shared" si="66"/>
        <v>102.46305418719213</v>
      </c>
      <c r="H175" s="5">
        <f t="shared" si="67"/>
        <v>2.8279627291781821</v>
      </c>
      <c r="I175" s="5">
        <f t="shared" si="64"/>
        <v>2.8279627291781821</v>
      </c>
      <c r="J175" s="5">
        <f t="shared" si="65"/>
        <v>7.9973731976209121</v>
      </c>
    </row>
    <row r="176" spans="1:10" x14ac:dyDescent="0.2">
      <c r="A176" s="54">
        <v>2013</v>
      </c>
      <c r="B176" s="16">
        <v>6</v>
      </c>
      <c r="C176" s="5">
        <v>210</v>
      </c>
      <c r="D176" s="5">
        <f t="shared" si="61"/>
        <v>8.5454545454545325</v>
      </c>
      <c r="E176" s="5">
        <f t="shared" si="62"/>
        <v>8.5454545454545325</v>
      </c>
      <c r="F176" s="5">
        <f>POWER(E176,2)</f>
        <v>73.024793388429529</v>
      </c>
      <c r="G176" s="5">
        <f t="shared" si="66"/>
        <v>100.96153846153845</v>
      </c>
      <c r="H176" s="5">
        <f t="shared" si="67"/>
        <v>1.3264470035245068</v>
      </c>
      <c r="I176" s="5">
        <f t="shared" si="64"/>
        <v>1.3264470035245068</v>
      </c>
      <c r="J176" s="5">
        <f t="shared" si="65"/>
        <v>1.7594616531591432</v>
      </c>
    </row>
    <row r="177" spans="1:10" x14ac:dyDescent="0.2">
      <c r="A177" s="54">
        <v>2014</v>
      </c>
      <c r="B177" s="16">
        <v>7</v>
      </c>
      <c r="C177" s="5">
        <v>212</v>
      </c>
      <c r="D177" s="5">
        <f t="shared" si="61"/>
        <v>10.545454545454533</v>
      </c>
      <c r="E177" s="5">
        <f t="shared" si="62"/>
        <v>10.545454545454533</v>
      </c>
      <c r="F177" s="5">
        <f t="shared" si="63"/>
        <v>111.20661157024766</v>
      </c>
      <c r="G177" s="5">
        <f t="shared" si="66"/>
        <v>100.95238095238095</v>
      </c>
      <c r="H177" s="5">
        <f t="shared" si="67"/>
        <v>1.317289494367003</v>
      </c>
      <c r="I177" s="5">
        <f t="shared" si="64"/>
        <v>1.317289494367003</v>
      </c>
      <c r="J177" s="5">
        <f t="shared" si="65"/>
        <v>1.7352516119696746</v>
      </c>
    </row>
    <row r="178" spans="1:10" x14ac:dyDescent="0.2">
      <c r="A178" s="54">
        <v>2015</v>
      </c>
      <c r="B178" s="16">
        <v>8</v>
      </c>
      <c r="C178" s="5">
        <v>215</v>
      </c>
      <c r="D178" s="5">
        <f t="shared" si="61"/>
        <v>13.545454545454533</v>
      </c>
      <c r="E178" s="5">
        <f t="shared" si="62"/>
        <v>13.545454545454533</v>
      </c>
      <c r="F178" s="5">
        <f t="shared" si="63"/>
        <v>183.47933884297487</v>
      </c>
      <c r="G178" s="5">
        <f t="shared" si="66"/>
        <v>101.41509433962264</v>
      </c>
      <c r="H178" s="5">
        <f t="shared" si="67"/>
        <v>1.780002881608695</v>
      </c>
      <c r="I178" s="5">
        <f t="shared" si="64"/>
        <v>1.780002881608695</v>
      </c>
      <c r="J178" s="5">
        <f t="shared" si="65"/>
        <v>3.1684102585352578</v>
      </c>
    </row>
    <row r="179" spans="1:10" x14ac:dyDescent="0.2">
      <c r="A179" s="54">
        <v>2016</v>
      </c>
      <c r="B179" s="16">
        <v>9</v>
      </c>
      <c r="C179" s="5">
        <v>200</v>
      </c>
      <c r="D179" s="5">
        <f t="shared" si="61"/>
        <v>-1.4545454545454675</v>
      </c>
      <c r="E179" s="5">
        <f t="shared" si="62"/>
        <v>1.4545454545454675</v>
      </c>
      <c r="F179" s="5">
        <f t="shared" si="63"/>
        <v>2.1157024793388803</v>
      </c>
      <c r="G179" s="5">
        <f t="shared" si="66"/>
        <v>93.023255813953483</v>
      </c>
      <c r="H179" s="5">
        <f t="shared" si="67"/>
        <v>-6.6118356440604629</v>
      </c>
      <c r="I179" s="5">
        <f t="shared" si="64"/>
        <v>6.6118356440604629</v>
      </c>
      <c r="J179" s="5">
        <f t="shared" si="65"/>
        <v>43.716370584068436</v>
      </c>
    </row>
    <row r="180" spans="1:10" x14ac:dyDescent="0.2">
      <c r="A180" s="54">
        <v>2017</v>
      </c>
      <c r="B180" s="16">
        <v>10</v>
      </c>
      <c r="C180" s="5">
        <v>192</v>
      </c>
      <c r="D180" s="5">
        <f t="shared" si="61"/>
        <v>-9.4545454545454675</v>
      </c>
      <c r="E180" s="5">
        <f t="shared" si="62"/>
        <v>9.4545454545454675</v>
      </c>
      <c r="F180" s="5">
        <f t="shared" si="63"/>
        <v>89.388429752066358</v>
      </c>
      <c r="G180" s="5">
        <f t="shared" si="66"/>
        <v>96</v>
      </c>
      <c r="H180" s="5">
        <f t="shared" si="67"/>
        <v>-3.635091458013946</v>
      </c>
      <c r="I180" s="5">
        <f t="shared" si="64"/>
        <v>3.635091458013946</v>
      </c>
      <c r="J180" s="5">
        <f t="shared" si="65"/>
        <v>13.213889908125955</v>
      </c>
    </row>
    <row r="181" spans="1:10" x14ac:dyDescent="0.2">
      <c r="A181" s="54">
        <v>2018</v>
      </c>
      <c r="B181" s="16">
        <v>11</v>
      </c>
      <c r="C181" s="5">
        <v>188</v>
      </c>
      <c r="D181" s="5">
        <f t="shared" si="61"/>
        <v>-13.454545454545467</v>
      </c>
      <c r="E181" s="5">
        <f t="shared" si="62"/>
        <v>13.454545454545467</v>
      </c>
      <c r="F181" s="5">
        <f t="shared" si="63"/>
        <v>181.02479338843011</v>
      </c>
      <c r="G181" s="5">
        <f t="shared" si="66"/>
        <v>97.916666666666657</v>
      </c>
      <c r="H181" s="5">
        <f t="shared" si="67"/>
        <v>-1.7184247913472888</v>
      </c>
      <c r="I181" s="5">
        <f t="shared" si="64"/>
        <v>1.7184247913472888</v>
      </c>
      <c r="J181" s="5">
        <f t="shared" si="65"/>
        <v>2.9529837635169729</v>
      </c>
    </row>
    <row r="182" spans="1:10" x14ac:dyDescent="0.2">
      <c r="A182" s="54">
        <v>2019</v>
      </c>
      <c r="B182" s="16">
        <v>12</v>
      </c>
      <c r="C182" s="5" t="s">
        <v>79</v>
      </c>
      <c r="D182" s="5" t="s">
        <v>79</v>
      </c>
      <c r="E182" s="5" t="s">
        <v>79</v>
      </c>
      <c r="F182" s="5" t="s">
        <v>79</v>
      </c>
      <c r="G182" s="5" t="s">
        <v>79</v>
      </c>
      <c r="H182" s="5" t="s">
        <v>79</v>
      </c>
      <c r="I182" s="5" t="s">
        <v>79</v>
      </c>
      <c r="J182" s="5" t="s">
        <v>79</v>
      </c>
    </row>
    <row r="183" spans="1:10" x14ac:dyDescent="0.2">
      <c r="A183" s="54" t="s">
        <v>126</v>
      </c>
      <c r="B183" s="16">
        <v>13</v>
      </c>
      <c r="C183" s="5">
        <f>AVERAGE(C171:C181)</f>
        <v>201.45454545454547</v>
      </c>
      <c r="D183" s="5" t="s">
        <v>79</v>
      </c>
      <c r="E183" s="5" t="s">
        <v>79</v>
      </c>
      <c r="F183" s="5" t="s">
        <v>79</v>
      </c>
      <c r="G183" s="5">
        <f>POWER(PRODUCT(G172:G181), 1/COUNTA(G172:G181))</f>
        <v>99.635091458013946</v>
      </c>
      <c r="H183" s="5" t="s">
        <v>79</v>
      </c>
      <c r="I183" s="5" t="s">
        <v>79</v>
      </c>
      <c r="J183" s="5" t="s">
        <v>79</v>
      </c>
    </row>
    <row r="184" spans="1:10" x14ac:dyDescent="0.2">
      <c r="A184" s="60"/>
      <c r="B184" s="57"/>
      <c r="C184" s="41"/>
      <c r="D184" s="41"/>
      <c r="E184" s="41"/>
      <c r="F184" s="41"/>
    </row>
    <row r="185" spans="1:10" x14ac:dyDescent="0.2">
      <c r="A185" s="6" t="s">
        <v>232</v>
      </c>
      <c r="B185" s="57"/>
      <c r="C185" s="41"/>
      <c r="D185" s="41"/>
      <c r="E185" s="41"/>
      <c r="F185" s="41"/>
    </row>
    <row r="186" spans="1:10" x14ac:dyDescent="0.2">
      <c r="A186" s="60"/>
      <c r="B186" s="57"/>
      <c r="C186" s="41"/>
      <c r="D186" s="41"/>
      <c r="E186" s="41"/>
      <c r="F186" s="41"/>
    </row>
    <row r="187" spans="1:10" x14ac:dyDescent="0.2">
      <c r="A187" s="60"/>
      <c r="B187" s="57"/>
      <c r="C187" s="41"/>
      <c r="D187" s="41"/>
      <c r="E187" s="41"/>
      <c r="F187" s="41"/>
    </row>
    <row r="188" spans="1:10" ht="15.75" x14ac:dyDescent="0.25">
      <c r="A188" s="62" t="s">
        <v>249</v>
      </c>
    </row>
    <row r="190" spans="1:10" ht="60" x14ac:dyDescent="0.2">
      <c r="A190" s="83" t="s">
        <v>191</v>
      </c>
      <c r="B190" s="84"/>
      <c r="C190" s="2" t="s">
        <v>121</v>
      </c>
      <c r="D190" s="2" t="s">
        <v>119</v>
      </c>
      <c r="E190" s="2" t="s">
        <v>120</v>
      </c>
      <c r="F190" s="2" t="s">
        <v>124</v>
      </c>
      <c r="G190" s="2" t="s">
        <v>267</v>
      </c>
      <c r="H190" s="2" t="s">
        <v>119</v>
      </c>
      <c r="I190" s="2" t="s">
        <v>120</v>
      </c>
      <c r="J190" s="2" t="s">
        <v>124</v>
      </c>
    </row>
    <row r="191" spans="1:10" x14ac:dyDescent="0.2">
      <c r="A191" s="16" t="s">
        <v>13</v>
      </c>
      <c r="B191" s="15" t="s">
        <v>14</v>
      </c>
      <c r="C191" s="16" t="s">
        <v>143</v>
      </c>
      <c r="D191" s="16">
        <v>1</v>
      </c>
      <c r="E191" s="16">
        <v>2</v>
      </c>
      <c r="F191" s="16">
        <v>3</v>
      </c>
      <c r="G191" s="16">
        <v>4</v>
      </c>
      <c r="H191" s="16">
        <v>5</v>
      </c>
      <c r="I191" s="16">
        <v>6</v>
      </c>
      <c r="J191" s="16">
        <v>7</v>
      </c>
    </row>
    <row r="192" spans="1:10" x14ac:dyDescent="0.2">
      <c r="A192" s="54">
        <v>2008</v>
      </c>
      <c r="B192" s="16">
        <v>1</v>
      </c>
      <c r="C192" s="5">
        <f t="array" ref="C192:C202">TRANSPOSE(C13:M13)</f>
        <v>106</v>
      </c>
      <c r="D192" s="5">
        <f>C192-$C$204</f>
        <v>14.63636363636364</v>
      </c>
      <c r="E192" s="5">
        <f>ABS(D192)</f>
        <v>14.63636363636364</v>
      </c>
      <c r="F192" s="5">
        <f>POWER(E192,2)</f>
        <v>214.22314049586788</v>
      </c>
      <c r="G192" s="5" t="s">
        <v>79</v>
      </c>
      <c r="H192" s="5" t="s">
        <v>79</v>
      </c>
      <c r="I192" s="5" t="s">
        <v>79</v>
      </c>
      <c r="J192" s="5" t="s">
        <v>79</v>
      </c>
    </row>
    <row r="193" spans="1:10" x14ac:dyDescent="0.2">
      <c r="A193" s="54">
        <v>2009</v>
      </c>
      <c r="B193" s="16">
        <v>2</v>
      </c>
      <c r="C193" s="5">
        <v>99.2</v>
      </c>
      <c r="D193" s="5">
        <f t="shared" ref="D193:D202" si="68">C193-$C$204</f>
        <v>7.8363636363636431</v>
      </c>
      <c r="E193" s="5">
        <f t="shared" ref="E193:E202" si="69">ABS(D193)</f>
        <v>7.8363636363636431</v>
      </c>
      <c r="F193" s="5">
        <f t="shared" ref="F193:F202" si="70">POWER(E193,2)</f>
        <v>61.408595041322421</v>
      </c>
      <c r="G193" s="5">
        <f>C193/C192*100</f>
        <v>93.584905660377359</v>
      </c>
      <c r="H193" s="5">
        <f>G193-$G$204</f>
        <v>-4.0690952654411632</v>
      </c>
      <c r="I193" s="5">
        <f t="shared" ref="I193:I202" si="71">ABS(H193)</f>
        <v>4.0690952654411632</v>
      </c>
      <c r="J193" s="5">
        <f t="shared" ref="J193:J202" si="72">POWER(I193,2)</f>
        <v>16.557536279235691</v>
      </c>
    </row>
    <row r="194" spans="1:10" x14ac:dyDescent="0.2">
      <c r="A194" s="54">
        <v>2010</v>
      </c>
      <c r="B194" s="16">
        <v>3</v>
      </c>
      <c r="C194" s="5">
        <v>99.6</v>
      </c>
      <c r="D194" s="5">
        <f t="shared" si="68"/>
        <v>8.2363636363636346</v>
      </c>
      <c r="E194" s="5">
        <f t="shared" si="69"/>
        <v>8.2363636363636346</v>
      </c>
      <c r="F194" s="5">
        <f t="shared" si="70"/>
        <v>67.837685950413189</v>
      </c>
      <c r="G194" s="5">
        <f t="shared" ref="G194:G202" si="73">C194/C193*100</f>
        <v>100.4032258064516</v>
      </c>
      <c r="H194" s="5">
        <f t="shared" ref="H194:H202" si="74">G194-$G$204</f>
        <v>2.7492248806330792</v>
      </c>
      <c r="I194" s="5">
        <f t="shared" si="71"/>
        <v>2.7492248806330792</v>
      </c>
      <c r="J194" s="5">
        <f t="shared" si="72"/>
        <v>7.5582374442919686</v>
      </c>
    </row>
    <row r="195" spans="1:10" x14ac:dyDescent="0.2">
      <c r="A195" s="54">
        <v>2011</v>
      </c>
      <c r="B195" s="16">
        <v>4</v>
      </c>
      <c r="C195" s="5">
        <v>94.2</v>
      </c>
      <c r="D195" s="5">
        <f t="shared" si="68"/>
        <v>2.8363636363636431</v>
      </c>
      <c r="E195" s="5">
        <f t="shared" si="69"/>
        <v>2.8363636363636431</v>
      </c>
      <c r="F195" s="5">
        <f t="shared" si="70"/>
        <v>8.0449586776859885</v>
      </c>
      <c r="G195" s="5">
        <f t="shared" si="73"/>
        <v>94.578313253012055</v>
      </c>
      <c r="H195" s="5">
        <f t="shared" si="74"/>
        <v>-3.0756876728064668</v>
      </c>
      <c r="I195" s="5">
        <f t="shared" si="71"/>
        <v>3.0756876728064668</v>
      </c>
      <c r="J195" s="5">
        <f t="shared" si="72"/>
        <v>9.4598546606536598</v>
      </c>
    </row>
    <row r="196" spans="1:10" x14ac:dyDescent="0.2">
      <c r="A196" s="54">
        <v>2012</v>
      </c>
      <c r="B196" s="16">
        <v>5</v>
      </c>
      <c r="C196" s="5">
        <v>87.6</v>
      </c>
      <c r="D196" s="5">
        <f t="shared" si="68"/>
        <v>-3.7636363636363654</v>
      </c>
      <c r="E196" s="5">
        <f>ABS(D196)</f>
        <v>3.7636363636363654</v>
      </c>
      <c r="F196" s="5">
        <f t="shared" si="70"/>
        <v>14.164958677685965</v>
      </c>
      <c r="G196" s="5">
        <f t="shared" si="73"/>
        <v>92.993630573248396</v>
      </c>
      <c r="H196" s="5">
        <f t="shared" si="74"/>
        <v>-4.6603703525701263</v>
      </c>
      <c r="I196" s="5">
        <f t="shared" si="71"/>
        <v>4.6603703525701263</v>
      </c>
      <c r="J196" s="5">
        <f t="shared" si="72"/>
        <v>21.719051823114604</v>
      </c>
    </row>
    <row r="197" spans="1:10" x14ac:dyDescent="0.2">
      <c r="A197" s="54">
        <v>2013</v>
      </c>
      <c r="B197" s="16">
        <v>6</v>
      </c>
      <c r="C197" s="5">
        <v>83.5</v>
      </c>
      <c r="D197" s="5">
        <f t="shared" si="68"/>
        <v>-7.8636363636363598</v>
      </c>
      <c r="E197" s="5">
        <f t="shared" si="69"/>
        <v>7.8636363636363598</v>
      </c>
      <c r="F197" s="5">
        <f>POWER(E197,2)</f>
        <v>61.83677685950407</v>
      </c>
      <c r="G197" s="5">
        <f t="shared" si="73"/>
        <v>95.319634703196357</v>
      </c>
      <c r="H197" s="5">
        <f t="shared" si="74"/>
        <v>-2.3343662226221653</v>
      </c>
      <c r="I197" s="5">
        <f t="shared" si="71"/>
        <v>2.3343662226221653</v>
      </c>
      <c r="J197" s="5">
        <f t="shared" si="72"/>
        <v>5.4492656613192763</v>
      </c>
    </row>
    <row r="198" spans="1:10" x14ac:dyDescent="0.2">
      <c r="A198" s="54">
        <v>2014</v>
      </c>
      <c r="B198" s="16">
        <v>7</v>
      </c>
      <c r="C198" s="5">
        <v>84.3</v>
      </c>
      <c r="D198" s="5">
        <f t="shared" si="68"/>
        <v>-7.0636363636363626</v>
      </c>
      <c r="E198" s="5">
        <f t="shared" si="69"/>
        <v>7.0636363636363626</v>
      </c>
      <c r="F198" s="5">
        <f t="shared" si="70"/>
        <v>49.894958677685935</v>
      </c>
      <c r="G198" s="5">
        <f t="shared" si="73"/>
        <v>100.95808383233533</v>
      </c>
      <c r="H198" s="5">
        <f t="shared" si="74"/>
        <v>3.3040829065168111</v>
      </c>
      <c r="I198" s="5">
        <f t="shared" si="71"/>
        <v>3.3040829065168111</v>
      </c>
      <c r="J198" s="5">
        <f t="shared" si="72"/>
        <v>10.916963853136579</v>
      </c>
    </row>
    <row r="199" spans="1:10" x14ac:dyDescent="0.2">
      <c r="A199" s="54">
        <v>2015</v>
      </c>
      <c r="B199" s="16">
        <v>8</v>
      </c>
      <c r="C199" s="5">
        <v>87.8</v>
      </c>
      <c r="D199" s="5">
        <f t="shared" si="68"/>
        <v>-3.5636363636363626</v>
      </c>
      <c r="E199" s="5">
        <f t="shared" si="69"/>
        <v>3.5636363636363626</v>
      </c>
      <c r="F199" s="5">
        <f t="shared" si="70"/>
        <v>12.699504132231398</v>
      </c>
      <c r="G199" s="5">
        <f t="shared" si="73"/>
        <v>104.15183867141162</v>
      </c>
      <c r="H199" s="5">
        <f t="shared" si="74"/>
        <v>6.4978377455931025</v>
      </c>
      <c r="I199" s="5">
        <f t="shared" si="71"/>
        <v>6.4978377455931025</v>
      </c>
      <c r="J199" s="5">
        <f t="shared" si="72"/>
        <v>42.221895368054454</v>
      </c>
    </row>
    <row r="200" spans="1:10" x14ac:dyDescent="0.2">
      <c r="A200" s="54">
        <v>2016</v>
      </c>
      <c r="B200" s="16">
        <v>9</v>
      </c>
      <c r="C200" s="5">
        <v>90.2</v>
      </c>
      <c r="D200" s="5">
        <f t="shared" si="68"/>
        <v>-1.1636363636363569</v>
      </c>
      <c r="E200" s="5">
        <f t="shared" si="69"/>
        <v>1.1636363636363569</v>
      </c>
      <c r="F200" s="5">
        <f t="shared" si="70"/>
        <v>1.3540495867768438</v>
      </c>
      <c r="G200" s="5">
        <f t="shared" si="73"/>
        <v>102.73348519362186</v>
      </c>
      <c r="H200" s="5">
        <f t="shared" si="74"/>
        <v>5.0794842678033376</v>
      </c>
      <c r="I200" s="5">
        <f t="shared" si="71"/>
        <v>5.0794842678033376</v>
      </c>
      <c r="J200" s="5">
        <f t="shared" si="72"/>
        <v>25.80116042686161</v>
      </c>
    </row>
    <row r="201" spans="1:10" x14ac:dyDescent="0.2">
      <c r="A201" s="54">
        <v>2017</v>
      </c>
      <c r="B201" s="16">
        <v>10</v>
      </c>
      <c r="C201" s="5">
        <v>89</v>
      </c>
      <c r="D201" s="5">
        <f t="shared" si="68"/>
        <v>-2.3636363636363598</v>
      </c>
      <c r="E201" s="5">
        <f t="shared" si="69"/>
        <v>2.3636363636363598</v>
      </c>
      <c r="F201" s="5">
        <f t="shared" si="70"/>
        <v>5.5867768595041136</v>
      </c>
      <c r="G201" s="5">
        <f t="shared" si="73"/>
        <v>98.669623059866964</v>
      </c>
      <c r="H201" s="5">
        <f t="shared" si="74"/>
        <v>1.0156221340484421</v>
      </c>
      <c r="I201" s="5">
        <f t="shared" si="71"/>
        <v>1.0156221340484421</v>
      </c>
      <c r="J201" s="5">
        <f t="shared" si="72"/>
        <v>1.0314883191691118</v>
      </c>
    </row>
    <row r="202" spans="1:10" x14ac:dyDescent="0.2">
      <c r="A202" s="54">
        <v>2018</v>
      </c>
      <c r="B202" s="16">
        <v>11</v>
      </c>
      <c r="C202" s="5">
        <v>83.6</v>
      </c>
      <c r="D202" s="5">
        <f t="shared" si="68"/>
        <v>-7.7636363636363654</v>
      </c>
      <c r="E202" s="5">
        <f t="shared" si="69"/>
        <v>7.7636363636363654</v>
      </c>
      <c r="F202" s="5">
        <f t="shared" si="70"/>
        <v>60.27404958677689</v>
      </c>
      <c r="G202" s="5">
        <f t="shared" si="73"/>
        <v>93.932584269662911</v>
      </c>
      <c r="H202" s="5">
        <f t="shared" si="74"/>
        <v>-3.7214166561556112</v>
      </c>
      <c r="I202" s="5">
        <f t="shared" si="71"/>
        <v>3.7214166561556112</v>
      </c>
      <c r="J202" s="5">
        <f t="shared" si="72"/>
        <v>13.84894192871241</v>
      </c>
    </row>
    <row r="203" spans="1:10" x14ac:dyDescent="0.2">
      <c r="A203" s="54">
        <v>2019</v>
      </c>
      <c r="B203" s="16">
        <v>12</v>
      </c>
      <c r="C203" s="5" t="s">
        <v>79</v>
      </c>
      <c r="D203" s="5" t="s">
        <v>79</v>
      </c>
      <c r="E203" s="5" t="s">
        <v>79</v>
      </c>
      <c r="F203" s="5" t="s">
        <v>79</v>
      </c>
      <c r="G203" s="5" t="s">
        <v>79</v>
      </c>
      <c r="H203" s="5" t="s">
        <v>79</v>
      </c>
      <c r="I203" s="5" t="s">
        <v>79</v>
      </c>
      <c r="J203" s="5" t="s">
        <v>79</v>
      </c>
    </row>
    <row r="204" spans="1:10" x14ac:dyDescent="0.2">
      <c r="A204" s="54" t="s">
        <v>126</v>
      </c>
      <c r="B204" s="16">
        <v>13</v>
      </c>
      <c r="C204" s="5">
        <f>AVERAGE(C192:C202)</f>
        <v>91.36363636363636</v>
      </c>
      <c r="D204" s="5" t="s">
        <v>79</v>
      </c>
      <c r="E204" s="5" t="s">
        <v>79</v>
      </c>
      <c r="F204" s="5" t="s">
        <v>79</v>
      </c>
      <c r="G204" s="5">
        <f>POWER(PRODUCT(G193:G202), 1/COUNTA(G193:G202))</f>
        <v>97.654000925818522</v>
      </c>
      <c r="H204" s="5" t="s">
        <v>79</v>
      </c>
      <c r="I204" s="5" t="s">
        <v>79</v>
      </c>
      <c r="J204" s="5" t="s">
        <v>79</v>
      </c>
    </row>
    <row r="205" spans="1:10" x14ac:dyDescent="0.2">
      <c r="A205" s="60"/>
      <c r="B205" s="57"/>
      <c r="C205" s="41"/>
      <c r="D205" s="41"/>
      <c r="E205" s="41"/>
      <c r="F205" s="41"/>
    </row>
    <row r="206" spans="1:10" x14ac:dyDescent="0.2">
      <c r="A206" s="6" t="s">
        <v>232</v>
      </c>
      <c r="B206" s="57"/>
      <c r="C206" s="41"/>
      <c r="D206" s="41"/>
      <c r="E206" s="41"/>
      <c r="F206" s="41"/>
    </row>
    <row r="207" spans="1:10" x14ac:dyDescent="0.2">
      <c r="A207" s="60"/>
      <c r="B207" s="57"/>
      <c r="C207" s="41"/>
      <c r="D207" s="41"/>
      <c r="E207" s="41"/>
      <c r="F207" s="41"/>
    </row>
    <row r="208" spans="1:10" x14ac:dyDescent="0.2">
      <c r="A208" s="60"/>
      <c r="B208" s="57"/>
      <c r="C208" s="41"/>
      <c r="D208" s="41"/>
      <c r="E208" s="41"/>
      <c r="F208" s="41"/>
    </row>
    <row r="209" spans="1:10" ht="15.75" x14ac:dyDescent="0.25">
      <c r="A209" s="62" t="s">
        <v>251</v>
      </c>
      <c r="F209" s="41"/>
    </row>
    <row r="210" spans="1:10" x14ac:dyDescent="0.2">
      <c r="F210" s="41"/>
    </row>
    <row r="211" spans="1:10" ht="60" x14ac:dyDescent="0.2">
      <c r="A211" s="83" t="s">
        <v>191</v>
      </c>
      <c r="B211" s="84"/>
      <c r="C211" s="2" t="s">
        <v>121</v>
      </c>
      <c r="D211" s="2" t="s">
        <v>119</v>
      </c>
      <c r="E211" s="2" t="s">
        <v>120</v>
      </c>
      <c r="F211" s="2" t="s">
        <v>124</v>
      </c>
      <c r="G211" s="2" t="s">
        <v>267</v>
      </c>
      <c r="H211" s="2" t="s">
        <v>119</v>
      </c>
      <c r="I211" s="2" t="s">
        <v>120</v>
      </c>
      <c r="J211" s="2" t="s">
        <v>124</v>
      </c>
    </row>
    <row r="212" spans="1:10" x14ac:dyDescent="0.2">
      <c r="A212" s="16" t="s">
        <v>13</v>
      </c>
      <c r="B212" s="15" t="s">
        <v>14</v>
      </c>
      <c r="C212" s="16" t="s">
        <v>143</v>
      </c>
      <c r="D212" s="16">
        <v>1</v>
      </c>
      <c r="E212" s="16">
        <v>2</v>
      </c>
      <c r="F212" s="16">
        <v>3</v>
      </c>
      <c r="G212" s="16">
        <v>4</v>
      </c>
      <c r="H212" s="16">
        <v>5</v>
      </c>
      <c r="I212" s="16">
        <v>6</v>
      </c>
      <c r="J212" s="16">
        <v>7</v>
      </c>
    </row>
    <row r="213" spans="1:10" x14ac:dyDescent="0.2">
      <c r="A213" s="54">
        <v>2008</v>
      </c>
      <c r="B213" s="16">
        <v>1</v>
      </c>
      <c r="C213" s="5">
        <f t="array" ref="C213:C223">TRANSPOSE(C14:M14)</f>
        <v>100</v>
      </c>
      <c r="D213" s="5">
        <f>C213-$C$225</f>
        <v>-60.363636363636374</v>
      </c>
      <c r="E213" s="5">
        <f>ABS(D213)</f>
        <v>60.363636363636374</v>
      </c>
      <c r="F213" s="5">
        <f>POWER(E213,2)</f>
        <v>3643.7685950413234</v>
      </c>
      <c r="G213" s="5" t="s">
        <v>79</v>
      </c>
      <c r="H213" s="5" t="s">
        <v>79</v>
      </c>
      <c r="I213" s="5" t="s">
        <v>79</v>
      </c>
      <c r="J213" s="5" t="s">
        <v>79</v>
      </c>
    </row>
    <row r="214" spans="1:10" x14ac:dyDescent="0.2">
      <c r="A214" s="54">
        <v>2009</v>
      </c>
      <c r="B214" s="16">
        <v>2</v>
      </c>
      <c r="C214" s="5">
        <v>113</v>
      </c>
      <c r="D214" s="5">
        <f t="shared" ref="D214:D223" si="75">C214-$C$225</f>
        <v>-47.363636363636374</v>
      </c>
      <c r="E214" s="5">
        <f t="shared" ref="E214:E223" si="76">ABS(D214)</f>
        <v>47.363636363636374</v>
      </c>
      <c r="F214" s="5">
        <f>POWER(E214,2)</f>
        <v>2243.3140495867779</v>
      </c>
      <c r="G214" s="5">
        <f>C214/C213*100</f>
        <v>112.99999999999999</v>
      </c>
      <c r="H214" s="5">
        <f>G214-$G$225</f>
        <v>4.2670432179576352</v>
      </c>
      <c r="I214" s="5">
        <f t="shared" ref="I214:I223" si="77">ABS(H214)</f>
        <v>4.2670432179576352</v>
      </c>
      <c r="J214" s="5">
        <f t="shared" ref="J214:J223" si="78">POWER(I214,2)</f>
        <v>18.20765782391825</v>
      </c>
    </row>
    <row r="215" spans="1:10" x14ac:dyDescent="0.2">
      <c r="A215" s="54">
        <v>2010</v>
      </c>
      <c r="B215" s="16">
        <v>3</v>
      </c>
      <c r="C215" s="5">
        <v>117</v>
      </c>
      <c r="D215" s="5">
        <f t="shared" si="75"/>
        <v>-43.363636363636374</v>
      </c>
      <c r="E215" s="5">
        <f t="shared" si="76"/>
        <v>43.363636363636374</v>
      </c>
      <c r="F215" s="5">
        <f t="shared" ref="F215:F223" si="79">POWER(E215,2)</f>
        <v>1880.4049586776869</v>
      </c>
      <c r="G215" s="5">
        <f t="shared" ref="G215:G223" si="80">C215/C214*100</f>
        <v>103.53982300884957</v>
      </c>
      <c r="H215" s="5">
        <f t="shared" ref="H215:H223" si="81">G215-$G$225</f>
        <v>-5.193133773192784</v>
      </c>
      <c r="I215" s="5">
        <f t="shared" si="77"/>
        <v>5.193133773192784</v>
      </c>
      <c r="J215" s="5">
        <f t="shared" si="78"/>
        <v>26.968638386275522</v>
      </c>
    </row>
    <row r="216" spans="1:10" x14ac:dyDescent="0.2">
      <c r="A216" s="54">
        <v>2011</v>
      </c>
      <c r="B216" s="16">
        <v>4</v>
      </c>
      <c r="C216" s="5">
        <v>134</v>
      </c>
      <c r="D216" s="5">
        <f t="shared" si="75"/>
        <v>-26.363636363636374</v>
      </c>
      <c r="E216" s="5">
        <f t="shared" si="76"/>
        <v>26.363636363636374</v>
      </c>
      <c r="F216" s="5">
        <f t="shared" si="79"/>
        <v>695.04132231405015</v>
      </c>
      <c r="G216" s="5">
        <f t="shared" si="80"/>
        <v>114.52991452991452</v>
      </c>
      <c r="H216" s="5">
        <f t="shared" si="81"/>
        <v>5.7969577478721703</v>
      </c>
      <c r="I216" s="5">
        <f t="shared" si="77"/>
        <v>5.7969577478721703</v>
      </c>
      <c r="J216" s="5">
        <f t="shared" si="78"/>
        <v>33.604719130615187</v>
      </c>
    </row>
    <row r="217" spans="1:10" x14ac:dyDescent="0.2">
      <c r="A217" s="54">
        <v>2012</v>
      </c>
      <c r="B217" s="16">
        <v>5</v>
      </c>
      <c r="C217" s="5">
        <v>146</v>
      </c>
      <c r="D217" s="5">
        <f t="shared" si="75"/>
        <v>-14.363636363636374</v>
      </c>
      <c r="E217" s="5">
        <f>ABS(D217)</f>
        <v>14.363636363636374</v>
      </c>
      <c r="F217" s="5">
        <f t="shared" si="79"/>
        <v>206.31404958677714</v>
      </c>
      <c r="G217" s="5">
        <f t="shared" si="80"/>
        <v>108.95522388059702</v>
      </c>
      <c r="H217" s="5">
        <f t="shared" si="81"/>
        <v>0.22226709855466709</v>
      </c>
      <c r="I217" s="5">
        <f t="shared" si="77"/>
        <v>0.22226709855466709</v>
      </c>
      <c r="J217" s="5">
        <f t="shared" si="78"/>
        <v>4.9402663099910094E-2</v>
      </c>
    </row>
    <row r="218" spans="1:10" x14ac:dyDescent="0.2">
      <c r="A218" s="54">
        <v>2013</v>
      </c>
      <c r="B218" s="16">
        <v>6</v>
      </c>
      <c r="C218" s="5">
        <v>148</v>
      </c>
      <c r="D218" s="5">
        <f t="shared" si="75"/>
        <v>-12.363636363636374</v>
      </c>
      <c r="E218" s="5">
        <f t="shared" si="76"/>
        <v>12.363636363636374</v>
      </c>
      <c r="F218" s="5">
        <f>POWER(E218,2)</f>
        <v>152.85950413223165</v>
      </c>
      <c r="G218" s="5">
        <f t="shared" si="80"/>
        <v>101.36986301369863</v>
      </c>
      <c r="H218" s="5">
        <f t="shared" si="81"/>
        <v>-7.3630937683437168</v>
      </c>
      <c r="I218" s="5">
        <f t="shared" si="77"/>
        <v>7.3630937683437168</v>
      </c>
      <c r="J218" s="5">
        <f t="shared" si="78"/>
        <v>54.215149841422075</v>
      </c>
    </row>
    <row r="219" spans="1:10" x14ac:dyDescent="0.2">
      <c r="A219" s="54">
        <v>2014</v>
      </c>
      <c r="B219" s="16">
        <v>7</v>
      </c>
      <c r="C219" s="5">
        <v>154</v>
      </c>
      <c r="D219" s="5">
        <f t="shared" si="75"/>
        <v>-6.363636363636374</v>
      </c>
      <c r="E219" s="5">
        <f t="shared" si="76"/>
        <v>6.363636363636374</v>
      </c>
      <c r="F219" s="5">
        <f t="shared" si="79"/>
        <v>40.495867768595176</v>
      </c>
      <c r="G219" s="5">
        <f t="shared" si="80"/>
        <v>104.05405405405406</v>
      </c>
      <c r="H219" s="5">
        <f t="shared" si="81"/>
        <v>-4.6789027279882873</v>
      </c>
      <c r="I219" s="5">
        <f t="shared" si="77"/>
        <v>4.6789027279882873</v>
      </c>
      <c r="J219" s="5">
        <f t="shared" si="78"/>
        <v>21.892130737976238</v>
      </c>
    </row>
    <row r="220" spans="1:10" x14ac:dyDescent="0.2">
      <c r="A220" s="54">
        <v>2015</v>
      </c>
      <c r="B220" s="16">
        <v>8</v>
      </c>
      <c r="C220" s="5">
        <v>173</v>
      </c>
      <c r="D220" s="5">
        <f t="shared" si="75"/>
        <v>12.636363636363626</v>
      </c>
      <c r="E220" s="5">
        <f t="shared" si="76"/>
        <v>12.636363636363626</v>
      </c>
      <c r="F220" s="5">
        <f t="shared" si="79"/>
        <v>159.67768595041295</v>
      </c>
      <c r="G220" s="5">
        <f t="shared" si="80"/>
        <v>112.33766233766234</v>
      </c>
      <c r="H220" s="5">
        <f t="shared" si="81"/>
        <v>3.6047055556199865</v>
      </c>
      <c r="I220" s="5">
        <f t="shared" si="77"/>
        <v>3.6047055556199865</v>
      </c>
      <c r="J220" s="5">
        <f t="shared" si="78"/>
        <v>12.993902142717596</v>
      </c>
    </row>
    <row r="221" spans="1:10" x14ac:dyDescent="0.2">
      <c r="A221" s="54">
        <v>2016</v>
      </c>
      <c r="B221" s="16">
        <v>9</v>
      </c>
      <c r="C221" s="5">
        <v>222</v>
      </c>
      <c r="D221" s="5">
        <f t="shared" si="75"/>
        <v>61.636363636363626</v>
      </c>
      <c r="E221" s="5">
        <f t="shared" si="76"/>
        <v>61.636363636363626</v>
      </c>
      <c r="F221" s="5">
        <f t="shared" si="79"/>
        <v>3799.0413223140481</v>
      </c>
      <c r="G221" s="5">
        <f t="shared" si="80"/>
        <v>128.3236994219653</v>
      </c>
      <c r="H221" s="5">
        <f t="shared" si="81"/>
        <v>19.590742639922951</v>
      </c>
      <c r="I221" s="5">
        <f t="shared" si="77"/>
        <v>19.590742639922951</v>
      </c>
      <c r="J221" s="5">
        <f t="shared" si="78"/>
        <v>383.79719718369529</v>
      </c>
    </row>
    <row r="222" spans="1:10" x14ac:dyDescent="0.2">
      <c r="A222" s="54">
        <v>2017</v>
      </c>
      <c r="B222" s="16">
        <v>10</v>
      </c>
      <c r="C222" s="5">
        <v>226</v>
      </c>
      <c r="D222" s="5">
        <f t="shared" si="75"/>
        <v>65.636363636363626</v>
      </c>
      <c r="E222" s="5">
        <f t="shared" si="76"/>
        <v>65.636363636363626</v>
      </c>
      <c r="F222" s="5">
        <f t="shared" si="79"/>
        <v>4308.1322314049576</v>
      </c>
      <c r="G222" s="5">
        <f t="shared" si="80"/>
        <v>101.8018018018018</v>
      </c>
      <c r="H222" s="5">
        <f t="shared" si="81"/>
        <v>-6.9311549802405494</v>
      </c>
      <c r="I222" s="5">
        <f t="shared" si="77"/>
        <v>6.9311549802405494</v>
      </c>
      <c r="J222" s="5">
        <f t="shared" si="78"/>
        <v>48.040909360113375</v>
      </c>
    </row>
    <row r="223" spans="1:10" x14ac:dyDescent="0.2">
      <c r="A223" s="54">
        <v>2018</v>
      </c>
      <c r="B223" s="16">
        <v>11</v>
      </c>
      <c r="C223" s="5">
        <v>231</v>
      </c>
      <c r="D223" s="5">
        <f t="shared" si="75"/>
        <v>70.636363636363626</v>
      </c>
      <c r="E223" s="5">
        <f t="shared" si="76"/>
        <v>70.636363636363626</v>
      </c>
      <c r="F223" s="5">
        <f t="shared" si="79"/>
        <v>4989.4958677685936</v>
      </c>
      <c r="G223" s="5">
        <f t="shared" si="80"/>
        <v>102.21238938053096</v>
      </c>
      <c r="H223" s="5">
        <f t="shared" si="81"/>
        <v>-6.5205674015113857</v>
      </c>
      <c r="I223" s="5">
        <f t="shared" si="77"/>
        <v>6.5205674015113857</v>
      </c>
      <c r="J223" s="5">
        <f t="shared" si="78"/>
        <v>42.517799237652945</v>
      </c>
    </row>
    <row r="224" spans="1:10" x14ac:dyDescent="0.2">
      <c r="A224" s="54">
        <v>2019</v>
      </c>
      <c r="B224" s="16">
        <v>12</v>
      </c>
      <c r="C224" s="5" t="s">
        <v>79</v>
      </c>
      <c r="D224" s="5" t="s">
        <v>79</v>
      </c>
      <c r="E224" s="5" t="s">
        <v>79</v>
      </c>
      <c r="F224" s="5" t="s">
        <v>79</v>
      </c>
      <c r="G224" s="5" t="s">
        <v>79</v>
      </c>
      <c r="H224" s="5" t="s">
        <v>79</v>
      </c>
      <c r="I224" s="5" t="s">
        <v>79</v>
      </c>
      <c r="J224" s="5" t="s">
        <v>79</v>
      </c>
    </row>
    <row r="225" spans="1:10" x14ac:dyDescent="0.2">
      <c r="A225" s="54" t="s">
        <v>126</v>
      </c>
      <c r="B225" s="16">
        <v>13</v>
      </c>
      <c r="C225" s="5">
        <f>AVERAGE(C213:C223)</f>
        <v>160.36363636363637</v>
      </c>
      <c r="D225" s="5" t="s">
        <v>79</v>
      </c>
      <c r="E225" s="5" t="s">
        <v>79</v>
      </c>
      <c r="F225" s="5" t="s">
        <v>79</v>
      </c>
      <c r="G225" s="5">
        <f>POWER(PRODUCT(G214:G223), 1/COUNTA(G214:G223))</f>
        <v>108.73295678204235</v>
      </c>
      <c r="H225" s="5" t="s">
        <v>79</v>
      </c>
      <c r="I225" s="5" t="s">
        <v>79</v>
      </c>
      <c r="J225" s="5" t="s">
        <v>79</v>
      </c>
    </row>
    <row r="226" spans="1:10" x14ac:dyDescent="0.2">
      <c r="A226" s="60"/>
      <c r="B226" s="57"/>
      <c r="C226" s="41"/>
      <c r="D226" s="41"/>
      <c r="E226" s="41"/>
      <c r="F226" s="41"/>
    </row>
    <row r="227" spans="1:10" x14ac:dyDescent="0.2">
      <c r="A227" s="6" t="s">
        <v>232</v>
      </c>
      <c r="B227" s="57"/>
      <c r="C227" s="41"/>
      <c r="D227" s="41"/>
      <c r="E227" s="41"/>
      <c r="F227" s="41"/>
    </row>
    <row r="228" spans="1:10" x14ac:dyDescent="0.2">
      <c r="A228" s="60"/>
      <c r="B228" s="57"/>
      <c r="C228" s="41"/>
      <c r="D228" s="41"/>
      <c r="E228" s="41"/>
      <c r="F228" s="41"/>
    </row>
    <row r="229" spans="1:10" x14ac:dyDescent="0.2">
      <c r="A229" s="60"/>
      <c r="B229" s="57"/>
      <c r="C229" s="41"/>
      <c r="D229" s="41"/>
      <c r="E229" s="41"/>
      <c r="F229" s="41"/>
    </row>
    <row r="230" spans="1:10" ht="15.75" x14ac:dyDescent="0.25">
      <c r="A230" s="62" t="s">
        <v>253</v>
      </c>
      <c r="F230" s="41"/>
    </row>
    <row r="231" spans="1:10" x14ac:dyDescent="0.2">
      <c r="F231" s="41"/>
    </row>
    <row r="232" spans="1:10" ht="60" x14ac:dyDescent="0.2">
      <c r="A232" s="83" t="s">
        <v>191</v>
      </c>
      <c r="B232" s="84"/>
      <c r="C232" s="2" t="s">
        <v>121</v>
      </c>
      <c r="D232" s="2" t="s">
        <v>119</v>
      </c>
      <c r="E232" s="2" t="s">
        <v>120</v>
      </c>
      <c r="F232" s="2" t="s">
        <v>124</v>
      </c>
      <c r="G232" s="2" t="s">
        <v>267</v>
      </c>
      <c r="H232" s="2" t="s">
        <v>119</v>
      </c>
      <c r="I232" s="2" t="s">
        <v>120</v>
      </c>
      <c r="J232" s="2" t="s">
        <v>124</v>
      </c>
    </row>
    <row r="233" spans="1:10" x14ac:dyDescent="0.2">
      <c r="A233" s="16" t="s">
        <v>13</v>
      </c>
      <c r="B233" s="15" t="s">
        <v>14</v>
      </c>
      <c r="C233" s="16" t="s">
        <v>143</v>
      </c>
      <c r="D233" s="16">
        <v>1</v>
      </c>
      <c r="E233" s="16">
        <v>2</v>
      </c>
      <c r="F233" s="16">
        <v>3</v>
      </c>
      <c r="G233" s="16">
        <v>4</v>
      </c>
      <c r="H233" s="16">
        <v>5</v>
      </c>
      <c r="I233" s="16">
        <v>6</v>
      </c>
      <c r="J233" s="16">
        <v>7</v>
      </c>
    </row>
    <row r="234" spans="1:10" x14ac:dyDescent="0.2">
      <c r="A234" s="54">
        <v>2008</v>
      </c>
      <c r="B234" s="16">
        <v>1</v>
      </c>
      <c r="C234" s="5">
        <f t="array" ref="C234:C244">TRANSPOSE(C15:M15)</f>
        <v>135</v>
      </c>
      <c r="D234" s="5">
        <f>C234-$C$246</f>
        <v>-8.7818181818181813</v>
      </c>
      <c r="E234" s="5">
        <f>ABS(D234)</f>
        <v>8.7818181818181813</v>
      </c>
      <c r="F234" s="5">
        <f>POWER(E234,2)</f>
        <v>77.120330578512394</v>
      </c>
      <c r="G234" s="5" t="s">
        <v>79</v>
      </c>
      <c r="H234" s="5" t="s">
        <v>79</v>
      </c>
      <c r="I234" s="5" t="s">
        <v>79</v>
      </c>
      <c r="J234" s="5" t="s">
        <v>79</v>
      </c>
    </row>
    <row r="235" spans="1:10" x14ac:dyDescent="0.2">
      <c r="A235" s="54">
        <v>2009</v>
      </c>
      <c r="B235" s="16">
        <v>2</v>
      </c>
      <c r="C235" s="5">
        <v>114</v>
      </c>
      <c r="D235" s="5">
        <f t="shared" ref="D235:D244" si="82">C235-$C$246</f>
        <v>-29.781818181818181</v>
      </c>
      <c r="E235" s="5">
        <f t="shared" ref="E235:E244" si="83">ABS(D235)</f>
        <v>29.781818181818181</v>
      </c>
      <c r="F235" s="5">
        <f>POWER(E235,2)</f>
        <v>886.95669421487605</v>
      </c>
      <c r="G235" s="5">
        <f>C235/C234*100</f>
        <v>84.444444444444443</v>
      </c>
      <c r="H235" s="5">
        <f>G235-$G$246</f>
        <v>-16.458693567957411</v>
      </c>
      <c r="I235" s="5">
        <f t="shared" ref="I235:I244" si="84">ABS(H235)</f>
        <v>16.458693567957411</v>
      </c>
      <c r="J235" s="5">
        <f t="shared" ref="J235:J244" si="85">POWER(I235,2)</f>
        <v>270.88859396392263</v>
      </c>
    </row>
    <row r="236" spans="1:10" x14ac:dyDescent="0.2">
      <c r="A236" s="54">
        <v>2010</v>
      </c>
      <c r="B236" s="16">
        <v>3</v>
      </c>
      <c r="C236" s="5">
        <v>123</v>
      </c>
      <c r="D236" s="5">
        <f t="shared" si="82"/>
        <v>-20.781818181818181</v>
      </c>
      <c r="E236" s="5">
        <f t="shared" si="83"/>
        <v>20.781818181818181</v>
      </c>
      <c r="F236" s="5">
        <f t="shared" ref="F236:F244" si="86">POWER(E236,2)</f>
        <v>431.88396694214873</v>
      </c>
      <c r="G236" s="5">
        <f t="shared" ref="G236:G244" si="87">C236/C235*100</f>
        <v>107.89473684210526</v>
      </c>
      <c r="H236" s="5">
        <f t="shared" ref="H236:H244" si="88">G236-$G$246</f>
        <v>6.9915988297034062</v>
      </c>
      <c r="I236" s="5">
        <f t="shared" si="84"/>
        <v>6.9915988297034062</v>
      </c>
      <c r="J236" s="5">
        <f t="shared" si="85"/>
        <v>48.882454195510036</v>
      </c>
    </row>
    <row r="237" spans="1:10" x14ac:dyDescent="0.2">
      <c r="A237" s="54">
        <v>2011</v>
      </c>
      <c r="B237" s="16">
        <v>4</v>
      </c>
      <c r="C237" s="5">
        <v>141</v>
      </c>
      <c r="D237" s="5">
        <f t="shared" si="82"/>
        <v>-2.7818181818181813</v>
      </c>
      <c r="E237" s="5">
        <f t="shared" si="83"/>
        <v>2.7818181818181813</v>
      </c>
      <c r="F237" s="5">
        <f t="shared" si="86"/>
        <v>7.7385123966942118</v>
      </c>
      <c r="G237" s="5">
        <f t="shared" si="87"/>
        <v>114.63414634146341</v>
      </c>
      <c r="H237" s="5">
        <f t="shared" si="88"/>
        <v>13.731008329061552</v>
      </c>
      <c r="I237" s="5">
        <f t="shared" si="84"/>
        <v>13.731008329061552</v>
      </c>
      <c r="J237" s="5">
        <f t="shared" si="85"/>
        <v>188.54058973275772</v>
      </c>
    </row>
    <row r="238" spans="1:10" x14ac:dyDescent="0.2">
      <c r="A238" s="54">
        <v>2012</v>
      </c>
      <c r="B238" s="16">
        <v>5</v>
      </c>
      <c r="C238" s="5">
        <v>158</v>
      </c>
      <c r="D238" s="5">
        <f t="shared" si="82"/>
        <v>14.218181818181819</v>
      </c>
      <c r="E238" s="5">
        <f>ABS(D238)</f>
        <v>14.218181818181819</v>
      </c>
      <c r="F238" s="5">
        <f t="shared" si="86"/>
        <v>202.15669421487604</v>
      </c>
      <c r="G238" s="5">
        <f t="shared" si="87"/>
        <v>112.05673758865248</v>
      </c>
      <c r="H238" s="5">
        <f t="shared" si="88"/>
        <v>11.153599576250627</v>
      </c>
      <c r="I238" s="5">
        <f t="shared" si="84"/>
        <v>11.153599576250627</v>
      </c>
      <c r="J238" s="5">
        <f t="shared" si="85"/>
        <v>124.40278350733817</v>
      </c>
    </row>
    <row r="239" spans="1:10" x14ac:dyDescent="0.2">
      <c r="A239" s="54">
        <v>2013</v>
      </c>
      <c r="B239" s="16">
        <v>6</v>
      </c>
      <c r="C239" s="5">
        <v>155</v>
      </c>
      <c r="D239" s="5">
        <f t="shared" si="82"/>
        <v>11.218181818181819</v>
      </c>
      <c r="E239" s="5">
        <f t="shared" si="83"/>
        <v>11.218181818181819</v>
      </c>
      <c r="F239" s="5">
        <f>POWER(E239,2)</f>
        <v>125.84760330578514</v>
      </c>
      <c r="G239" s="5">
        <f t="shared" si="87"/>
        <v>98.101265822784811</v>
      </c>
      <c r="H239" s="5">
        <f t="shared" si="88"/>
        <v>-2.8018721896170433</v>
      </c>
      <c r="I239" s="5">
        <f t="shared" si="84"/>
        <v>2.8018721896170433</v>
      </c>
      <c r="J239" s="5">
        <f t="shared" si="85"/>
        <v>7.8504877669494046</v>
      </c>
    </row>
    <row r="240" spans="1:10" x14ac:dyDescent="0.2">
      <c r="A240" s="54">
        <v>2014</v>
      </c>
      <c r="B240" s="16">
        <v>7</v>
      </c>
      <c r="C240" s="5">
        <v>152</v>
      </c>
      <c r="D240" s="5">
        <f t="shared" si="82"/>
        <v>8.2181818181818187</v>
      </c>
      <c r="E240" s="5">
        <f t="shared" si="83"/>
        <v>8.2181818181818187</v>
      </c>
      <c r="F240" s="5">
        <f t="shared" si="86"/>
        <v>67.53851239669423</v>
      </c>
      <c r="G240" s="5">
        <f t="shared" si="87"/>
        <v>98.064516129032256</v>
      </c>
      <c r="H240" s="5">
        <f t="shared" si="88"/>
        <v>-2.8386218833695978</v>
      </c>
      <c r="I240" s="5">
        <f t="shared" si="84"/>
        <v>2.8386218833695978</v>
      </c>
      <c r="J240" s="5">
        <f t="shared" si="85"/>
        <v>8.0577741967447629</v>
      </c>
    </row>
    <row r="241" spans="1:14" x14ac:dyDescent="0.2">
      <c r="A241" s="54">
        <v>2015</v>
      </c>
      <c r="B241" s="16">
        <v>8</v>
      </c>
      <c r="C241" s="5">
        <v>152</v>
      </c>
      <c r="D241" s="5">
        <f t="shared" si="82"/>
        <v>8.2181818181818187</v>
      </c>
      <c r="E241" s="5">
        <f t="shared" si="83"/>
        <v>8.2181818181818187</v>
      </c>
      <c r="F241" s="5">
        <f t="shared" si="86"/>
        <v>67.53851239669423</v>
      </c>
      <c r="G241" s="5">
        <f t="shared" si="87"/>
        <v>100</v>
      </c>
      <c r="H241" s="5">
        <f t="shared" si="88"/>
        <v>-0.90313801240185398</v>
      </c>
      <c r="I241" s="5">
        <f t="shared" si="84"/>
        <v>0.90313801240185398</v>
      </c>
      <c r="J241" s="5">
        <f t="shared" si="85"/>
        <v>0.81565826944517139</v>
      </c>
    </row>
    <row r="242" spans="1:14" x14ac:dyDescent="0.2">
      <c r="A242" s="54">
        <v>2016</v>
      </c>
      <c r="B242" s="16">
        <v>9</v>
      </c>
      <c r="C242" s="5">
        <v>158</v>
      </c>
      <c r="D242" s="5">
        <f t="shared" si="82"/>
        <v>14.218181818181819</v>
      </c>
      <c r="E242" s="5">
        <f t="shared" si="83"/>
        <v>14.218181818181819</v>
      </c>
      <c r="F242" s="5">
        <f t="shared" si="86"/>
        <v>202.15669421487604</v>
      </c>
      <c r="G242" s="5">
        <f t="shared" si="87"/>
        <v>103.94736842105263</v>
      </c>
      <c r="H242" s="5">
        <f t="shared" si="88"/>
        <v>3.0442304086507761</v>
      </c>
      <c r="I242" s="5">
        <f t="shared" si="84"/>
        <v>3.0442304086507761</v>
      </c>
      <c r="J242" s="5">
        <f t="shared" si="85"/>
        <v>9.2673387809540717</v>
      </c>
    </row>
    <row r="243" spans="1:14" x14ac:dyDescent="0.2">
      <c r="A243" s="54">
        <v>2017</v>
      </c>
      <c r="B243" s="16">
        <v>10</v>
      </c>
      <c r="C243" s="5">
        <v>145.9</v>
      </c>
      <c r="D243" s="5">
        <f t="shared" si="82"/>
        <v>2.1181818181818244</v>
      </c>
      <c r="E243" s="5">
        <f t="shared" si="83"/>
        <v>2.1181818181818244</v>
      </c>
      <c r="F243" s="5">
        <f t="shared" si="86"/>
        <v>4.4866942148760591</v>
      </c>
      <c r="G243" s="5">
        <f t="shared" si="87"/>
        <v>92.341772151898738</v>
      </c>
      <c r="H243" s="5">
        <f t="shared" si="88"/>
        <v>-8.5613658605031162</v>
      </c>
      <c r="I243" s="5">
        <f t="shared" si="84"/>
        <v>8.5613658605031162</v>
      </c>
      <c r="J243" s="5">
        <f t="shared" si="85"/>
        <v>73.296985397388269</v>
      </c>
    </row>
    <row r="244" spans="1:14" x14ac:dyDescent="0.2">
      <c r="A244" s="54">
        <v>2018</v>
      </c>
      <c r="B244" s="16">
        <v>11</v>
      </c>
      <c r="C244" s="5">
        <v>147.69999999999999</v>
      </c>
      <c r="D244" s="5">
        <f t="shared" si="82"/>
        <v>3.9181818181818073</v>
      </c>
      <c r="E244" s="5">
        <f t="shared" si="83"/>
        <v>3.9181818181818073</v>
      </c>
      <c r="F244" s="5">
        <f t="shared" si="86"/>
        <v>15.352148760330493</v>
      </c>
      <c r="G244" s="5">
        <f t="shared" si="87"/>
        <v>101.23372172721041</v>
      </c>
      <c r="H244" s="5">
        <f t="shared" si="88"/>
        <v>0.33058371480855442</v>
      </c>
      <c r="I244" s="5">
        <f t="shared" si="84"/>
        <v>0.33058371480855442</v>
      </c>
      <c r="J244" s="5">
        <f t="shared" si="85"/>
        <v>0.10928559249662365</v>
      </c>
    </row>
    <row r="245" spans="1:14" x14ac:dyDescent="0.2">
      <c r="A245" s="54">
        <v>2019</v>
      </c>
      <c r="B245" s="16">
        <v>12</v>
      </c>
      <c r="C245" s="5" t="s">
        <v>79</v>
      </c>
      <c r="D245" s="5" t="s">
        <v>79</v>
      </c>
      <c r="E245" s="5" t="s">
        <v>79</v>
      </c>
      <c r="F245" s="5" t="s">
        <v>79</v>
      </c>
      <c r="G245" s="5" t="s">
        <v>79</v>
      </c>
      <c r="H245" s="5" t="s">
        <v>79</v>
      </c>
      <c r="I245" s="5" t="s">
        <v>79</v>
      </c>
      <c r="J245" s="5" t="s">
        <v>79</v>
      </c>
    </row>
    <row r="246" spans="1:14" x14ac:dyDescent="0.2">
      <c r="A246" s="54" t="s">
        <v>126</v>
      </c>
      <c r="B246" s="16">
        <v>13</v>
      </c>
      <c r="C246" s="5">
        <f>AVERAGE(C234:C244)</f>
        <v>143.78181818181818</v>
      </c>
      <c r="D246" s="5" t="s">
        <v>79</v>
      </c>
      <c r="E246" s="5" t="s">
        <v>79</v>
      </c>
      <c r="F246" s="5" t="s">
        <v>79</v>
      </c>
      <c r="G246" s="5">
        <f>POWER(PRODUCT(G235:G244), 1/COUNTA(G235:G244))</f>
        <v>100.90313801240185</v>
      </c>
      <c r="H246" s="5" t="s">
        <v>79</v>
      </c>
      <c r="I246" s="5" t="s">
        <v>79</v>
      </c>
      <c r="J246" s="5" t="s">
        <v>79</v>
      </c>
    </row>
    <row r="247" spans="1:14" x14ac:dyDescent="0.2">
      <c r="A247" s="60"/>
      <c r="B247" s="57"/>
      <c r="C247" s="41"/>
      <c r="D247" s="41"/>
      <c r="E247" s="41"/>
      <c r="F247" s="41"/>
    </row>
    <row r="248" spans="1:14" x14ac:dyDescent="0.2">
      <c r="A248" s="6" t="s">
        <v>232</v>
      </c>
      <c r="B248" s="57"/>
      <c r="C248" s="41"/>
      <c r="D248" s="41"/>
      <c r="E248" s="41"/>
      <c r="F248" s="41"/>
    </row>
    <row r="249" spans="1:14" x14ac:dyDescent="0.2">
      <c r="A249" s="60"/>
      <c r="B249" s="57"/>
      <c r="C249" s="41"/>
      <c r="D249" s="41"/>
      <c r="E249" s="41"/>
      <c r="F249" s="41"/>
    </row>
    <row r="251" spans="1:14" ht="15.75" x14ac:dyDescent="0.25">
      <c r="A251" s="9" t="s">
        <v>159</v>
      </c>
    </row>
    <row r="253" spans="1:14" x14ac:dyDescent="0.2">
      <c r="A253" s="2" t="s">
        <v>75</v>
      </c>
      <c r="B253" s="2">
        <v>7.28</v>
      </c>
    </row>
    <row r="255" spans="1:14" x14ac:dyDescent="0.2">
      <c r="A255" s="95" t="s">
        <v>146</v>
      </c>
      <c r="B255" s="96"/>
      <c r="C255" s="21">
        <v>2008</v>
      </c>
      <c r="D255" s="21">
        <v>2009</v>
      </c>
      <c r="E255" s="21">
        <v>2010</v>
      </c>
      <c r="F255" s="21">
        <v>2011</v>
      </c>
      <c r="G255" s="21">
        <v>2012</v>
      </c>
      <c r="H255" s="21">
        <v>2013</v>
      </c>
      <c r="I255" s="21">
        <v>2014</v>
      </c>
      <c r="J255" s="21">
        <v>2015</v>
      </c>
      <c r="K255" s="21">
        <v>2016</v>
      </c>
      <c r="L255" s="21">
        <v>2017</v>
      </c>
      <c r="M255" s="21">
        <v>2018</v>
      </c>
      <c r="N255" s="21">
        <v>2019</v>
      </c>
    </row>
    <row r="256" spans="1:14" x14ac:dyDescent="0.2">
      <c r="A256" s="16" t="s">
        <v>13</v>
      </c>
      <c r="B256" s="16" t="s">
        <v>14</v>
      </c>
      <c r="C256" s="16">
        <v>1</v>
      </c>
      <c r="D256" s="16">
        <v>2</v>
      </c>
      <c r="E256" s="16">
        <v>3</v>
      </c>
      <c r="F256" s="16">
        <v>4</v>
      </c>
      <c r="G256" s="16">
        <v>5</v>
      </c>
      <c r="H256" s="16">
        <v>6</v>
      </c>
      <c r="I256" s="16">
        <v>7</v>
      </c>
      <c r="J256" s="16">
        <v>8</v>
      </c>
      <c r="K256" s="16">
        <v>9</v>
      </c>
      <c r="L256" s="16">
        <v>10</v>
      </c>
      <c r="M256" s="16">
        <v>11</v>
      </c>
      <c r="N256" s="16">
        <v>12</v>
      </c>
    </row>
    <row r="257" spans="1:14" x14ac:dyDescent="0.2">
      <c r="A257" s="55" t="s">
        <v>157</v>
      </c>
      <c r="B257" s="16">
        <v>1</v>
      </c>
      <c r="C257" s="45">
        <f>C5*$B$253</f>
        <v>29076.32</v>
      </c>
      <c r="D257" s="45">
        <f t="shared" ref="D257:M257" si="89">D5*$B$253</f>
        <v>29076.32</v>
      </c>
      <c r="E257" s="45">
        <f t="shared" si="89"/>
        <v>29061.760000000002</v>
      </c>
      <c r="F257" s="45">
        <f t="shared" si="89"/>
        <v>28967.120000000003</v>
      </c>
      <c r="G257" s="45">
        <f t="shared" si="89"/>
        <v>29833.440000000002</v>
      </c>
      <c r="H257" s="45">
        <f t="shared" si="89"/>
        <v>29971.760000000002</v>
      </c>
      <c r="I257" s="45">
        <f t="shared" si="89"/>
        <v>30670.639999999999</v>
      </c>
      <c r="J257" s="45">
        <f t="shared" si="89"/>
        <v>31420.48</v>
      </c>
      <c r="K257" s="45">
        <f t="shared" si="89"/>
        <v>31850</v>
      </c>
      <c r="L257" s="45">
        <f t="shared" si="89"/>
        <v>31864.560000000001</v>
      </c>
      <c r="M257" s="45">
        <f t="shared" si="89"/>
        <v>32628.960000000003</v>
      </c>
      <c r="N257" s="103" t="s">
        <v>6</v>
      </c>
    </row>
    <row r="258" spans="1:14" x14ac:dyDescent="0.2">
      <c r="A258" s="20" t="s">
        <v>147</v>
      </c>
      <c r="B258" s="16">
        <v>2</v>
      </c>
      <c r="C258" s="45">
        <f t="shared" ref="C258:M267" si="90">C6*$B$253</f>
        <v>3552.6400000000003</v>
      </c>
      <c r="D258" s="45">
        <f t="shared" si="90"/>
        <v>3596.32</v>
      </c>
      <c r="E258" s="45">
        <f t="shared" si="90"/>
        <v>3683.6800000000003</v>
      </c>
      <c r="F258" s="45">
        <f t="shared" si="90"/>
        <v>3727.36</v>
      </c>
      <c r="G258" s="45">
        <f t="shared" si="90"/>
        <v>3778.32</v>
      </c>
      <c r="H258" s="45">
        <f t="shared" si="90"/>
        <v>3800.1600000000003</v>
      </c>
      <c r="I258" s="45">
        <f t="shared" si="90"/>
        <v>3829.28</v>
      </c>
      <c r="J258" s="45">
        <f t="shared" si="90"/>
        <v>3894.8</v>
      </c>
      <c r="K258" s="45">
        <f t="shared" si="90"/>
        <v>3989.44</v>
      </c>
      <c r="L258" s="45">
        <f t="shared" si="90"/>
        <v>3982.1600000000003</v>
      </c>
      <c r="M258" s="45">
        <f t="shared" si="90"/>
        <v>4047.6800000000003</v>
      </c>
      <c r="N258" s="104"/>
    </row>
    <row r="259" spans="1:14" x14ac:dyDescent="0.2">
      <c r="A259" s="20" t="s">
        <v>148</v>
      </c>
      <c r="B259" s="16">
        <v>3</v>
      </c>
      <c r="C259" s="45">
        <f t="shared" si="90"/>
        <v>476.84000000000003</v>
      </c>
      <c r="D259" s="45">
        <f t="shared" si="90"/>
        <v>457.18399999999997</v>
      </c>
      <c r="E259" s="45">
        <f t="shared" si="90"/>
        <v>458.64000000000004</v>
      </c>
      <c r="F259" s="45">
        <f t="shared" si="90"/>
        <v>378.56</v>
      </c>
      <c r="G259" s="45">
        <f t="shared" si="90"/>
        <v>324.68800000000005</v>
      </c>
      <c r="H259" s="45">
        <f t="shared" si="90"/>
        <v>296.29600000000005</v>
      </c>
      <c r="I259" s="45">
        <f t="shared" si="90"/>
        <v>291.2</v>
      </c>
      <c r="J259" s="45">
        <f t="shared" si="90"/>
        <v>329.78399999999999</v>
      </c>
      <c r="K259" s="45">
        <f t="shared" si="90"/>
        <v>345.072</v>
      </c>
      <c r="L259" s="45">
        <f t="shared" si="90"/>
        <v>338.52000000000004</v>
      </c>
      <c r="M259" s="45">
        <f t="shared" si="90"/>
        <v>370.55200000000002</v>
      </c>
      <c r="N259" s="104"/>
    </row>
    <row r="260" spans="1:14" x14ac:dyDescent="0.2">
      <c r="A260" s="20" t="s">
        <v>149</v>
      </c>
      <c r="B260" s="16">
        <v>4</v>
      </c>
      <c r="C260" s="45">
        <f t="shared" si="90"/>
        <v>31.303999999999998</v>
      </c>
      <c r="D260" s="45">
        <f t="shared" si="90"/>
        <v>29.12</v>
      </c>
      <c r="E260" s="45">
        <f t="shared" si="90"/>
        <v>26.208000000000002</v>
      </c>
      <c r="F260" s="45">
        <f t="shared" si="90"/>
        <v>24.751999999999999</v>
      </c>
      <c r="G260" s="45">
        <f t="shared" si="90"/>
        <v>24.024000000000001</v>
      </c>
      <c r="H260" s="45">
        <f t="shared" si="90"/>
        <v>22.568000000000001</v>
      </c>
      <c r="I260" s="45">
        <f t="shared" si="90"/>
        <v>19.656000000000002</v>
      </c>
      <c r="J260" s="45">
        <f t="shared" si="90"/>
        <v>18.928000000000001</v>
      </c>
      <c r="K260" s="45">
        <f t="shared" si="90"/>
        <v>16.744</v>
      </c>
      <c r="L260" s="45">
        <f t="shared" si="90"/>
        <v>16.016000000000002</v>
      </c>
      <c r="M260" s="45">
        <f t="shared" si="90"/>
        <v>16.744</v>
      </c>
      <c r="N260" s="104"/>
    </row>
    <row r="261" spans="1:14" x14ac:dyDescent="0.2">
      <c r="A261" s="20" t="s">
        <v>150</v>
      </c>
      <c r="B261" s="16">
        <v>5</v>
      </c>
      <c r="C261" s="45">
        <f t="shared" si="90"/>
        <v>902.72</v>
      </c>
      <c r="D261" s="45">
        <f t="shared" si="90"/>
        <v>786.24</v>
      </c>
      <c r="E261" s="45">
        <f t="shared" si="90"/>
        <v>975.52</v>
      </c>
      <c r="F261" s="45">
        <f t="shared" si="90"/>
        <v>1048.32</v>
      </c>
      <c r="G261" s="45">
        <f t="shared" si="90"/>
        <v>1077.44</v>
      </c>
      <c r="H261" s="45">
        <f t="shared" si="90"/>
        <v>1121.1200000000001</v>
      </c>
      <c r="I261" s="45">
        <f t="shared" si="90"/>
        <v>1223.04</v>
      </c>
      <c r="J261" s="45">
        <f t="shared" si="90"/>
        <v>1295.8400000000001</v>
      </c>
      <c r="K261" s="45">
        <f t="shared" si="90"/>
        <v>1339.52</v>
      </c>
      <c r="L261" s="45">
        <f t="shared" si="90"/>
        <v>1281.28</v>
      </c>
      <c r="M261" s="45">
        <f t="shared" si="90"/>
        <v>1303.1200000000001</v>
      </c>
      <c r="N261" s="104"/>
    </row>
    <row r="262" spans="1:14" x14ac:dyDescent="0.2">
      <c r="A262" s="20" t="s">
        <v>151</v>
      </c>
      <c r="B262" s="16">
        <v>6</v>
      </c>
      <c r="C262" s="45">
        <f t="shared" si="90"/>
        <v>3348.8</v>
      </c>
      <c r="D262" s="45">
        <f t="shared" si="90"/>
        <v>2970.2400000000002</v>
      </c>
      <c r="E262" s="45">
        <f t="shared" si="90"/>
        <v>3356.08</v>
      </c>
      <c r="F262" s="45">
        <f t="shared" si="90"/>
        <v>3785.6</v>
      </c>
      <c r="G262" s="45">
        <f t="shared" si="90"/>
        <v>3982.1600000000003</v>
      </c>
      <c r="H262" s="45">
        <f t="shared" si="90"/>
        <v>3902.08</v>
      </c>
      <c r="I262" s="45">
        <f t="shared" si="90"/>
        <v>3938.48</v>
      </c>
      <c r="J262" s="45">
        <f t="shared" si="90"/>
        <v>4113.2</v>
      </c>
      <c r="K262" s="45">
        <f t="shared" si="90"/>
        <v>4251.5200000000004</v>
      </c>
      <c r="L262" s="45">
        <f t="shared" si="90"/>
        <v>4047.6800000000003</v>
      </c>
      <c r="M262" s="45">
        <f t="shared" si="90"/>
        <v>4186</v>
      </c>
      <c r="N262" s="104"/>
    </row>
    <row r="263" spans="1:14" x14ac:dyDescent="0.2">
      <c r="A263" s="20" t="s">
        <v>152</v>
      </c>
      <c r="B263" s="16">
        <v>7</v>
      </c>
      <c r="C263" s="45">
        <f t="shared" si="90"/>
        <v>1783.6000000000001</v>
      </c>
      <c r="D263" s="45">
        <f t="shared" si="90"/>
        <v>1921.92</v>
      </c>
      <c r="E263" s="45">
        <f t="shared" si="90"/>
        <v>2402.4</v>
      </c>
      <c r="F263" s="45">
        <f t="shared" si="90"/>
        <v>2497.04</v>
      </c>
      <c r="G263" s="45">
        <f t="shared" si="90"/>
        <v>2824.64</v>
      </c>
      <c r="H263" s="45">
        <f t="shared" si="90"/>
        <v>3261.44</v>
      </c>
      <c r="I263" s="45">
        <f t="shared" si="90"/>
        <v>3814.7200000000003</v>
      </c>
      <c r="J263" s="45">
        <f t="shared" si="90"/>
        <v>4076.8</v>
      </c>
      <c r="K263" s="45">
        <f t="shared" si="90"/>
        <v>3916.6400000000003</v>
      </c>
      <c r="L263" s="45">
        <f t="shared" si="90"/>
        <v>4142.32</v>
      </c>
      <c r="M263" s="45">
        <f t="shared" si="90"/>
        <v>4848.4800000000005</v>
      </c>
      <c r="N263" s="104"/>
    </row>
    <row r="264" spans="1:14" x14ac:dyDescent="0.2">
      <c r="A264" s="20" t="s">
        <v>153</v>
      </c>
      <c r="B264" s="16">
        <v>8</v>
      </c>
      <c r="C264" s="45">
        <f t="shared" si="90"/>
        <v>1419.6000000000001</v>
      </c>
      <c r="D264" s="45">
        <f t="shared" si="90"/>
        <v>1383.2</v>
      </c>
      <c r="E264" s="45">
        <f t="shared" si="90"/>
        <v>1477.8400000000001</v>
      </c>
      <c r="F264" s="45">
        <f t="shared" si="90"/>
        <v>1477.8400000000001</v>
      </c>
      <c r="G264" s="45">
        <f t="shared" si="90"/>
        <v>1514.24</v>
      </c>
      <c r="H264" s="45">
        <f t="shared" si="90"/>
        <v>1528.8</v>
      </c>
      <c r="I264" s="45">
        <f t="shared" si="90"/>
        <v>1543.3600000000001</v>
      </c>
      <c r="J264" s="45">
        <f t="shared" si="90"/>
        <v>1565.2</v>
      </c>
      <c r="K264" s="45">
        <f t="shared" si="90"/>
        <v>1456</v>
      </c>
      <c r="L264" s="45">
        <f t="shared" si="90"/>
        <v>1397.76</v>
      </c>
      <c r="M264" s="45">
        <f t="shared" si="90"/>
        <v>1368.64</v>
      </c>
      <c r="N264" s="104"/>
    </row>
    <row r="265" spans="1:14" x14ac:dyDescent="0.2">
      <c r="A265" s="20" t="s">
        <v>154</v>
      </c>
      <c r="B265" s="16">
        <v>9</v>
      </c>
      <c r="C265" s="45">
        <f t="shared" si="90"/>
        <v>771.68000000000006</v>
      </c>
      <c r="D265" s="45">
        <f t="shared" si="90"/>
        <v>722.17600000000004</v>
      </c>
      <c r="E265" s="45">
        <f t="shared" si="90"/>
        <v>725.08799999999997</v>
      </c>
      <c r="F265" s="45">
        <f t="shared" si="90"/>
        <v>685.77600000000007</v>
      </c>
      <c r="G265" s="45">
        <f t="shared" si="90"/>
        <v>637.72799999999995</v>
      </c>
      <c r="H265" s="45">
        <f t="shared" si="90"/>
        <v>607.88</v>
      </c>
      <c r="I265" s="45">
        <f t="shared" si="90"/>
        <v>613.70399999999995</v>
      </c>
      <c r="J265" s="45">
        <f t="shared" si="90"/>
        <v>639.18399999999997</v>
      </c>
      <c r="K265" s="45">
        <f t="shared" si="90"/>
        <v>656.65600000000006</v>
      </c>
      <c r="L265" s="45">
        <f t="shared" si="90"/>
        <v>647.92000000000007</v>
      </c>
      <c r="M265" s="45">
        <f t="shared" si="90"/>
        <v>608.60799999999995</v>
      </c>
      <c r="N265" s="104"/>
    </row>
    <row r="266" spans="1:14" x14ac:dyDescent="0.2">
      <c r="A266" s="20" t="s">
        <v>155</v>
      </c>
      <c r="B266" s="16">
        <v>10</v>
      </c>
      <c r="C266" s="45">
        <f t="shared" si="90"/>
        <v>728</v>
      </c>
      <c r="D266" s="45">
        <f t="shared" si="90"/>
        <v>822.64</v>
      </c>
      <c r="E266" s="45">
        <f t="shared" si="90"/>
        <v>851.76</v>
      </c>
      <c r="F266" s="45">
        <f t="shared" si="90"/>
        <v>975.52</v>
      </c>
      <c r="G266" s="45">
        <f t="shared" si="90"/>
        <v>1062.8800000000001</v>
      </c>
      <c r="H266" s="45">
        <f t="shared" si="90"/>
        <v>1077.44</v>
      </c>
      <c r="I266" s="45">
        <f t="shared" si="90"/>
        <v>1121.1200000000001</v>
      </c>
      <c r="J266" s="45">
        <f t="shared" si="90"/>
        <v>1259.44</v>
      </c>
      <c r="K266" s="45">
        <f t="shared" si="90"/>
        <v>1616.16</v>
      </c>
      <c r="L266" s="45">
        <f t="shared" si="90"/>
        <v>1645.28</v>
      </c>
      <c r="M266" s="45">
        <f t="shared" si="90"/>
        <v>1681.68</v>
      </c>
      <c r="N266" s="104"/>
    </row>
    <row r="267" spans="1:14" x14ac:dyDescent="0.2">
      <c r="A267" s="20" t="s">
        <v>156</v>
      </c>
      <c r="B267" s="16">
        <v>11</v>
      </c>
      <c r="C267" s="45">
        <f t="shared" si="90"/>
        <v>982.80000000000007</v>
      </c>
      <c r="D267" s="45">
        <f t="shared" si="90"/>
        <v>829.92000000000007</v>
      </c>
      <c r="E267" s="45">
        <f t="shared" si="90"/>
        <v>895.44</v>
      </c>
      <c r="F267" s="45">
        <f t="shared" si="90"/>
        <v>1026.48</v>
      </c>
      <c r="G267" s="45">
        <f t="shared" si="90"/>
        <v>1150.24</v>
      </c>
      <c r="H267" s="45">
        <f t="shared" si="90"/>
        <v>1128.4000000000001</v>
      </c>
      <c r="I267" s="45">
        <f t="shared" si="90"/>
        <v>1106.56</v>
      </c>
      <c r="J267" s="45">
        <f t="shared" si="90"/>
        <v>1106.56</v>
      </c>
      <c r="K267" s="45">
        <f t="shared" si="90"/>
        <v>1150.24</v>
      </c>
      <c r="L267" s="45">
        <f t="shared" si="90"/>
        <v>1062.152</v>
      </c>
      <c r="M267" s="45">
        <f t="shared" si="90"/>
        <v>1075.2559999999999</v>
      </c>
      <c r="N267" s="105"/>
    </row>
    <row r="269" spans="1:14" x14ac:dyDescent="0.2">
      <c r="A269" s="6" t="s">
        <v>161</v>
      </c>
    </row>
    <row r="272" spans="1:14" ht="15.75" x14ac:dyDescent="0.25">
      <c r="A272" s="9" t="s">
        <v>160</v>
      </c>
    </row>
    <row r="274" spans="1:14" x14ac:dyDescent="0.2">
      <c r="A274" s="13" t="s">
        <v>76</v>
      </c>
      <c r="B274" s="13">
        <v>1.43</v>
      </c>
    </row>
    <row r="275" spans="1:14" x14ac:dyDescent="0.2">
      <c r="A275" s="13" t="s">
        <v>77</v>
      </c>
      <c r="B275" s="13">
        <v>6.8419999999999996</v>
      </c>
    </row>
    <row r="277" spans="1:14" x14ac:dyDescent="0.2">
      <c r="A277" s="95" t="s">
        <v>146</v>
      </c>
      <c r="B277" s="96"/>
      <c r="C277" s="21">
        <v>2008</v>
      </c>
      <c r="D277" s="21">
        <v>2009</v>
      </c>
      <c r="E277" s="21">
        <v>2010</v>
      </c>
      <c r="F277" s="21">
        <v>2011</v>
      </c>
      <c r="G277" s="21">
        <v>2012</v>
      </c>
      <c r="H277" s="21">
        <v>2013</v>
      </c>
      <c r="I277" s="21">
        <v>2014</v>
      </c>
      <c r="J277" s="21">
        <v>2015</v>
      </c>
      <c r="K277" s="21">
        <v>2016</v>
      </c>
      <c r="L277" s="21">
        <v>2017</v>
      </c>
      <c r="M277" s="21">
        <v>2018</v>
      </c>
      <c r="N277" s="21">
        <v>2019</v>
      </c>
    </row>
    <row r="278" spans="1:14" x14ac:dyDescent="0.2">
      <c r="A278" s="16" t="s">
        <v>13</v>
      </c>
      <c r="B278" s="16" t="s">
        <v>14</v>
      </c>
      <c r="C278" s="16">
        <v>1</v>
      </c>
      <c r="D278" s="16">
        <v>2</v>
      </c>
      <c r="E278" s="16">
        <v>3</v>
      </c>
      <c r="F278" s="16">
        <v>4</v>
      </c>
      <c r="G278" s="16">
        <v>5</v>
      </c>
      <c r="H278" s="16">
        <v>6</v>
      </c>
      <c r="I278" s="16">
        <v>7</v>
      </c>
      <c r="J278" s="16">
        <v>8</v>
      </c>
      <c r="K278" s="16">
        <v>9</v>
      </c>
      <c r="L278" s="16">
        <v>10</v>
      </c>
      <c r="M278" s="16">
        <v>11</v>
      </c>
      <c r="N278" s="16">
        <v>12</v>
      </c>
    </row>
    <row r="279" spans="1:14" x14ac:dyDescent="0.2">
      <c r="A279" s="55" t="s">
        <v>157</v>
      </c>
      <c r="B279" s="16">
        <v>1</v>
      </c>
      <c r="C279" s="45">
        <f>C5*$B$275*$B$274</f>
        <v>39077.535640000002</v>
      </c>
      <c r="D279" s="45">
        <f t="shared" ref="D279:M279" si="91">D5*$B$275*$B$274</f>
        <v>39077.535640000002</v>
      </c>
      <c r="E279" s="45">
        <f t="shared" si="91"/>
        <v>39057.967519999998</v>
      </c>
      <c r="F279" s="45">
        <f t="shared" si="91"/>
        <v>38930.774740000001</v>
      </c>
      <c r="G279" s="45">
        <f t="shared" si="91"/>
        <v>40095.077879999997</v>
      </c>
      <c r="H279" s="45">
        <f t="shared" si="91"/>
        <v>40280.975019999998</v>
      </c>
      <c r="I279" s="45">
        <f t="shared" si="91"/>
        <v>41220.244779999994</v>
      </c>
      <c r="J279" s="45">
        <f t="shared" si="91"/>
        <v>42228.002959999998</v>
      </c>
      <c r="K279" s="45">
        <f t="shared" si="91"/>
        <v>42805.262499999997</v>
      </c>
      <c r="L279" s="45">
        <f t="shared" si="91"/>
        <v>42824.830619999993</v>
      </c>
      <c r="M279" s="45">
        <f t="shared" si="91"/>
        <v>43852.156919999994</v>
      </c>
      <c r="N279" s="103" t="s">
        <v>6</v>
      </c>
    </row>
    <row r="280" spans="1:14" x14ac:dyDescent="0.2">
      <c r="A280" s="20" t="s">
        <v>147</v>
      </c>
      <c r="B280" s="16">
        <v>2</v>
      </c>
      <c r="C280" s="45">
        <f t="shared" ref="C280:M289" si="92">C6*$B$275*$B$274</f>
        <v>4774.6212799999994</v>
      </c>
      <c r="D280" s="45">
        <f t="shared" si="92"/>
        <v>4833.32564</v>
      </c>
      <c r="E280" s="45">
        <f t="shared" si="92"/>
        <v>4950.7343599999995</v>
      </c>
      <c r="F280" s="45">
        <f t="shared" si="92"/>
        <v>5009.4387199999992</v>
      </c>
      <c r="G280" s="45">
        <f t="shared" si="92"/>
        <v>5077.9271399999989</v>
      </c>
      <c r="H280" s="45">
        <f t="shared" si="92"/>
        <v>5107.2793199999996</v>
      </c>
      <c r="I280" s="45">
        <f t="shared" si="92"/>
        <v>5146.4155599999995</v>
      </c>
      <c r="J280" s="45">
        <f t="shared" si="92"/>
        <v>5234.472099999999</v>
      </c>
      <c r="K280" s="45">
        <f t="shared" si="92"/>
        <v>5361.6648799999994</v>
      </c>
      <c r="L280" s="45">
        <f t="shared" si="92"/>
        <v>5351.8808199999994</v>
      </c>
      <c r="M280" s="45">
        <f t="shared" si="92"/>
        <v>5439.937359999999</v>
      </c>
      <c r="N280" s="104"/>
    </row>
    <row r="281" spans="1:14" x14ac:dyDescent="0.2">
      <c r="A281" s="20" t="s">
        <v>148</v>
      </c>
      <c r="B281" s="16">
        <v>3</v>
      </c>
      <c r="C281" s="45">
        <f t="shared" si="92"/>
        <v>640.85592999999994</v>
      </c>
      <c r="D281" s="45">
        <f t="shared" si="92"/>
        <v>614.43896799999993</v>
      </c>
      <c r="E281" s="45">
        <f t="shared" si="92"/>
        <v>616.39577999999995</v>
      </c>
      <c r="F281" s="45">
        <f t="shared" si="92"/>
        <v>508.77111999999994</v>
      </c>
      <c r="G281" s="45">
        <f t="shared" si="92"/>
        <v>436.36907599999995</v>
      </c>
      <c r="H281" s="45">
        <f t="shared" si="92"/>
        <v>398.21124199999997</v>
      </c>
      <c r="I281" s="45">
        <f t="shared" si="92"/>
        <v>391.36239999999998</v>
      </c>
      <c r="J281" s="45">
        <f t="shared" si="92"/>
        <v>443.21791799999994</v>
      </c>
      <c r="K281" s="45">
        <f t="shared" si="92"/>
        <v>463.76444399999991</v>
      </c>
      <c r="L281" s="45">
        <f t="shared" si="92"/>
        <v>454.95878999999991</v>
      </c>
      <c r="M281" s="45">
        <f t="shared" si="92"/>
        <v>498.00865399999992</v>
      </c>
      <c r="N281" s="104"/>
    </row>
    <row r="282" spans="1:14" x14ac:dyDescent="0.2">
      <c r="A282" s="20" t="s">
        <v>149</v>
      </c>
      <c r="B282" s="16">
        <v>4</v>
      </c>
      <c r="C282" s="45">
        <f t="shared" si="92"/>
        <v>42.071457999999993</v>
      </c>
      <c r="D282" s="45">
        <f t="shared" si="92"/>
        <v>39.136239999999994</v>
      </c>
      <c r="E282" s="45">
        <f t="shared" si="92"/>
        <v>35.222615999999995</v>
      </c>
      <c r="F282" s="45">
        <f t="shared" si="92"/>
        <v>33.265803999999996</v>
      </c>
      <c r="G282" s="45">
        <f t="shared" si="92"/>
        <v>32.287397999999996</v>
      </c>
      <c r="H282" s="45">
        <f t="shared" si="92"/>
        <v>30.330586</v>
      </c>
      <c r="I282" s="45">
        <f t="shared" si="92"/>
        <v>26.416962000000002</v>
      </c>
      <c r="J282" s="45">
        <f t="shared" si="92"/>
        <v>25.438556000000002</v>
      </c>
      <c r="K282" s="45">
        <f t="shared" si="92"/>
        <v>22.503337999999996</v>
      </c>
      <c r="L282" s="45">
        <f t="shared" si="92"/>
        <v>21.524932</v>
      </c>
      <c r="M282" s="45">
        <f t="shared" si="92"/>
        <v>22.503337999999996</v>
      </c>
      <c r="N282" s="104"/>
    </row>
    <row r="283" spans="1:14" x14ac:dyDescent="0.2">
      <c r="A283" s="20" t="s">
        <v>150</v>
      </c>
      <c r="B283" s="16">
        <v>5</v>
      </c>
      <c r="C283" s="45">
        <f t="shared" si="92"/>
        <v>1213.2234399999998</v>
      </c>
      <c r="D283" s="45">
        <f t="shared" si="92"/>
        <v>1056.6784799999998</v>
      </c>
      <c r="E283" s="45">
        <f t="shared" si="92"/>
        <v>1311.06404</v>
      </c>
      <c r="F283" s="45">
        <f t="shared" si="92"/>
        <v>1408.9046399999997</v>
      </c>
      <c r="G283" s="45">
        <f t="shared" si="92"/>
        <v>1448.04088</v>
      </c>
      <c r="H283" s="45">
        <f t="shared" si="92"/>
        <v>1506.7452399999997</v>
      </c>
      <c r="I283" s="45">
        <f t="shared" si="92"/>
        <v>1643.7220799999998</v>
      </c>
      <c r="J283" s="45">
        <f t="shared" si="92"/>
        <v>1741.56268</v>
      </c>
      <c r="K283" s="45">
        <f t="shared" si="92"/>
        <v>1800.2670399999997</v>
      </c>
      <c r="L283" s="45">
        <f t="shared" si="92"/>
        <v>1721.9945599999999</v>
      </c>
      <c r="M283" s="45">
        <f t="shared" si="92"/>
        <v>1751.3467399999997</v>
      </c>
      <c r="N283" s="104"/>
    </row>
    <row r="284" spans="1:14" x14ac:dyDescent="0.2">
      <c r="A284" s="20" t="s">
        <v>151</v>
      </c>
      <c r="B284" s="16">
        <v>6</v>
      </c>
      <c r="C284" s="45">
        <f t="shared" si="92"/>
        <v>4500.6675999999998</v>
      </c>
      <c r="D284" s="45">
        <f t="shared" si="92"/>
        <v>3991.8964799999999</v>
      </c>
      <c r="E284" s="45">
        <f t="shared" si="92"/>
        <v>4510.4516599999997</v>
      </c>
      <c r="F284" s="45">
        <f t="shared" si="92"/>
        <v>5087.7111999999997</v>
      </c>
      <c r="G284" s="45">
        <f t="shared" si="92"/>
        <v>5351.8808199999994</v>
      </c>
      <c r="H284" s="45">
        <f t="shared" si="92"/>
        <v>5244.2561599999999</v>
      </c>
      <c r="I284" s="45">
        <f t="shared" si="92"/>
        <v>5293.1764599999997</v>
      </c>
      <c r="J284" s="45">
        <f t="shared" si="92"/>
        <v>5527.9938999999995</v>
      </c>
      <c r="K284" s="45">
        <f t="shared" si="92"/>
        <v>5713.8910399999995</v>
      </c>
      <c r="L284" s="45">
        <f t="shared" si="92"/>
        <v>5439.937359999999</v>
      </c>
      <c r="M284" s="45">
        <f t="shared" si="92"/>
        <v>5625.834499999999</v>
      </c>
      <c r="N284" s="104"/>
    </row>
    <row r="285" spans="1:14" x14ac:dyDescent="0.2">
      <c r="A285" s="20" t="s">
        <v>152</v>
      </c>
      <c r="B285" s="16">
        <v>7</v>
      </c>
      <c r="C285" s="45">
        <f t="shared" si="92"/>
        <v>2397.0946999999996</v>
      </c>
      <c r="D285" s="45">
        <f t="shared" si="92"/>
        <v>2582.9918399999997</v>
      </c>
      <c r="E285" s="45">
        <f t="shared" si="92"/>
        <v>3228.7397999999994</v>
      </c>
      <c r="F285" s="45">
        <f t="shared" si="92"/>
        <v>3355.9325799999997</v>
      </c>
      <c r="G285" s="45">
        <f t="shared" si="92"/>
        <v>3796.2152799999999</v>
      </c>
      <c r="H285" s="45">
        <f t="shared" si="92"/>
        <v>4383.2588799999994</v>
      </c>
      <c r="I285" s="45">
        <f t="shared" si="92"/>
        <v>5126.8474399999996</v>
      </c>
      <c r="J285" s="45">
        <f t="shared" si="92"/>
        <v>5479.0735999999997</v>
      </c>
      <c r="K285" s="45">
        <f t="shared" si="92"/>
        <v>5263.8242799999989</v>
      </c>
      <c r="L285" s="45">
        <f t="shared" si="92"/>
        <v>5567.1301399999993</v>
      </c>
      <c r="M285" s="45">
        <f t="shared" si="92"/>
        <v>6516.1839599999994</v>
      </c>
      <c r="N285" s="104"/>
    </row>
    <row r="286" spans="1:14" x14ac:dyDescent="0.2">
      <c r="A286" s="20" t="s">
        <v>153</v>
      </c>
      <c r="B286" s="16">
        <v>8</v>
      </c>
      <c r="C286" s="45">
        <f t="shared" si="92"/>
        <v>1907.8916999999997</v>
      </c>
      <c r="D286" s="45">
        <f t="shared" si="92"/>
        <v>1858.9713999999999</v>
      </c>
      <c r="E286" s="45">
        <f t="shared" si="92"/>
        <v>1986.1641799999998</v>
      </c>
      <c r="F286" s="45">
        <f t="shared" si="92"/>
        <v>1986.1641799999998</v>
      </c>
      <c r="G286" s="45">
        <f t="shared" si="92"/>
        <v>2035.0844799999998</v>
      </c>
      <c r="H286" s="45">
        <f t="shared" si="92"/>
        <v>2054.6525999999999</v>
      </c>
      <c r="I286" s="45">
        <f t="shared" si="92"/>
        <v>2074.2207199999998</v>
      </c>
      <c r="J286" s="45">
        <f t="shared" si="92"/>
        <v>2103.5728999999997</v>
      </c>
      <c r="K286" s="45">
        <f t="shared" si="92"/>
        <v>1956.8119999999997</v>
      </c>
      <c r="L286" s="45">
        <f t="shared" si="92"/>
        <v>1878.5395199999998</v>
      </c>
      <c r="M286" s="45">
        <f t="shared" si="92"/>
        <v>1839.4032799999998</v>
      </c>
      <c r="N286" s="104"/>
    </row>
    <row r="287" spans="1:14" x14ac:dyDescent="0.2">
      <c r="A287" s="20" t="s">
        <v>154</v>
      </c>
      <c r="B287" s="16">
        <v>9</v>
      </c>
      <c r="C287" s="45">
        <f t="shared" si="92"/>
        <v>1037.1103599999999</v>
      </c>
      <c r="D287" s="45">
        <f t="shared" si="92"/>
        <v>970.57875200000001</v>
      </c>
      <c r="E287" s="45">
        <f t="shared" si="92"/>
        <v>974.49237599999981</v>
      </c>
      <c r="F287" s="45">
        <f t="shared" si="92"/>
        <v>921.6584519999999</v>
      </c>
      <c r="G287" s="45">
        <f t="shared" si="92"/>
        <v>857.08365599999979</v>
      </c>
      <c r="H287" s="45">
        <f t="shared" si="92"/>
        <v>816.96901000000003</v>
      </c>
      <c r="I287" s="45">
        <f t="shared" si="92"/>
        <v>824.79625799999985</v>
      </c>
      <c r="J287" s="45">
        <f t="shared" si="92"/>
        <v>859.04046799999992</v>
      </c>
      <c r="K287" s="45">
        <f t="shared" si="92"/>
        <v>882.52221199999997</v>
      </c>
      <c r="L287" s="45">
        <f t="shared" si="92"/>
        <v>870.78134</v>
      </c>
      <c r="M287" s="45">
        <f t="shared" si="92"/>
        <v>817.94741599999986</v>
      </c>
      <c r="N287" s="104"/>
    </row>
    <row r="288" spans="1:14" x14ac:dyDescent="0.2">
      <c r="A288" s="20" t="s">
        <v>155</v>
      </c>
      <c r="B288" s="16">
        <v>10</v>
      </c>
      <c r="C288" s="45">
        <f t="shared" si="92"/>
        <v>978.40599999999984</v>
      </c>
      <c r="D288" s="45">
        <f t="shared" si="92"/>
        <v>1105.5987799999998</v>
      </c>
      <c r="E288" s="45">
        <f t="shared" si="92"/>
        <v>1144.7350200000001</v>
      </c>
      <c r="F288" s="45">
        <f t="shared" si="92"/>
        <v>1311.06404</v>
      </c>
      <c r="G288" s="45">
        <f t="shared" si="92"/>
        <v>1428.4727599999999</v>
      </c>
      <c r="H288" s="45">
        <f t="shared" si="92"/>
        <v>1448.04088</v>
      </c>
      <c r="I288" s="45">
        <f t="shared" si="92"/>
        <v>1506.7452399999997</v>
      </c>
      <c r="J288" s="45">
        <f t="shared" si="92"/>
        <v>1692.6423799999998</v>
      </c>
      <c r="K288" s="45">
        <f t="shared" si="92"/>
        <v>2172.0613199999998</v>
      </c>
      <c r="L288" s="45">
        <f t="shared" si="92"/>
        <v>2211.1975599999996</v>
      </c>
      <c r="M288" s="45">
        <f t="shared" si="92"/>
        <v>2260.1178599999998</v>
      </c>
      <c r="N288" s="104"/>
    </row>
    <row r="289" spans="1:14" x14ac:dyDescent="0.2">
      <c r="A289" s="20" t="s">
        <v>156</v>
      </c>
      <c r="B289" s="16">
        <v>11</v>
      </c>
      <c r="C289" s="45">
        <f t="shared" si="92"/>
        <v>1320.8480999999999</v>
      </c>
      <c r="D289" s="45">
        <f t="shared" si="92"/>
        <v>1115.3828399999998</v>
      </c>
      <c r="E289" s="45">
        <f t="shared" si="92"/>
        <v>1203.4393799999998</v>
      </c>
      <c r="F289" s="45">
        <f t="shared" si="92"/>
        <v>1379.5524599999999</v>
      </c>
      <c r="G289" s="45">
        <f t="shared" si="92"/>
        <v>1545.8814799999998</v>
      </c>
      <c r="H289" s="45">
        <f t="shared" si="92"/>
        <v>1516.5292999999999</v>
      </c>
      <c r="I289" s="45">
        <f t="shared" si="92"/>
        <v>1487.1771199999998</v>
      </c>
      <c r="J289" s="45">
        <f t="shared" si="92"/>
        <v>1487.1771199999998</v>
      </c>
      <c r="K289" s="45">
        <f t="shared" si="92"/>
        <v>1545.8814799999998</v>
      </c>
      <c r="L289" s="45">
        <f t="shared" si="92"/>
        <v>1427.4943539999999</v>
      </c>
      <c r="M289" s="45">
        <f t="shared" si="92"/>
        <v>1445.1056619999997</v>
      </c>
      <c r="N289" s="105"/>
    </row>
    <row r="291" spans="1:14" x14ac:dyDescent="0.2">
      <c r="A291" s="6" t="s">
        <v>161</v>
      </c>
    </row>
    <row r="293" spans="1:14" ht="15.75" x14ac:dyDescent="0.25">
      <c r="A293" s="9" t="s">
        <v>29</v>
      </c>
    </row>
    <row r="295" spans="1:14" x14ac:dyDescent="0.2">
      <c r="A295" s="95" t="s">
        <v>146</v>
      </c>
      <c r="B295" s="96"/>
      <c r="C295" s="21">
        <v>2008</v>
      </c>
      <c r="D295" s="21">
        <v>2009</v>
      </c>
      <c r="E295" s="21">
        <v>2010</v>
      </c>
      <c r="F295" s="21">
        <v>2011</v>
      </c>
      <c r="G295" s="21">
        <v>2012</v>
      </c>
      <c r="H295" s="21">
        <v>2013</v>
      </c>
      <c r="I295" s="21">
        <v>2014</v>
      </c>
      <c r="J295" s="21">
        <v>2015</v>
      </c>
      <c r="K295" s="21">
        <v>2016</v>
      </c>
      <c r="L295" s="21">
        <v>2017</v>
      </c>
      <c r="M295" s="21">
        <v>2018</v>
      </c>
      <c r="N295" s="21">
        <v>2019</v>
      </c>
    </row>
    <row r="296" spans="1:14" x14ac:dyDescent="0.2">
      <c r="A296" s="16" t="s">
        <v>13</v>
      </c>
      <c r="B296" s="16" t="s">
        <v>14</v>
      </c>
      <c r="C296" s="16">
        <v>1</v>
      </c>
      <c r="D296" s="16">
        <v>2</v>
      </c>
      <c r="E296" s="16">
        <v>3</v>
      </c>
      <c r="F296" s="16">
        <v>4</v>
      </c>
      <c r="G296" s="16">
        <v>5</v>
      </c>
      <c r="H296" s="16">
        <v>6</v>
      </c>
      <c r="I296" s="16">
        <v>7</v>
      </c>
      <c r="J296" s="16">
        <v>8</v>
      </c>
      <c r="K296" s="16">
        <v>9</v>
      </c>
      <c r="L296" s="16">
        <v>10</v>
      </c>
      <c r="M296" s="16">
        <v>11</v>
      </c>
      <c r="N296" s="16">
        <v>12</v>
      </c>
    </row>
    <row r="297" spans="1:14" x14ac:dyDescent="0.2">
      <c r="A297" s="55" t="s">
        <v>157</v>
      </c>
      <c r="B297" s="16">
        <v>1</v>
      </c>
      <c r="C297" s="45" t="s">
        <v>79</v>
      </c>
      <c r="D297" s="45">
        <f>D5-C5</f>
        <v>0</v>
      </c>
      <c r="E297" s="45">
        <f t="shared" ref="E297:M297" si="93">E5-D5</f>
        <v>-2</v>
      </c>
      <c r="F297" s="45">
        <f t="shared" si="93"/>
        <v>-13</v>
      </c>
      <c r="G297" s="45">
        <f t="shared" si="93"/>
        <v>119</v>
      </c>
      <c r="H297" s="45">
        <f t="shared" si="93"/>
        <v>19</v>
      </c>
      <c r="I297" s="45">
        <f t="shared" si="93"/>
        <v>96</v>
      </c>
      <c r="J297" s="45">
        <f t="shared" si="93"/>
        <v>103</v>
      </c>
      <c r="K297" s="45">
        <f t="shared" si="93"/>
        <v>59</v>
      </c>
      <c r="L297" s="45">
        <f t="shared" si="93"/>
        <v>2</v>
      </c>
      <c r="M297" s="45">
        <f t="shared" si="93"/>
        <v>105</v>
      </c>
      <c r="N297" s="103" t="s">
        <v>6</v>
      </c>
    </row>
    <row r="298" spans="1:14" x14ac:dyDescent="0.2">
      <c r="A298" s="20" t="s">
        <v>147</v>
      </c>
      <c r="B298" s="16">
        <v>2</v>
      </c>
      <c r="C298" s="45" t="s">
        <v>79</v>
      </c>
      <c r="D298" s="45">
        <f t="shared" ref="D298:M306" si="94">D6-C6</f>
        <v>6</v>
      </c>
      <c r="E298" s="45">
        <f t="shared" si="94"/>
        <v>12</v>
      </c>
      <c r="F298" s="45">
        <f t="shared" si="94"/>
        <v>6</v>
      </c>
      <c r="G298" s="45">
        <f t="shared" si="94"/>
        <v>7</v>
      </c>
      <c r="H298" s="45">
        <f t="shared" si="94"/>
        <v>3</v>
      </c>
      <c r="I298" s="45">
        <f t="shared" si="94"/>
        <v>4</v>
      </c>
      <c r="J298" s="45">
        <f t="shared" si="94"/>
        <v>9</v>
      </c>
      <c r="K298" s="45">
        <f t="shared" si="94"/>
        <v>13</v>
      </c>
      <c r="L298" s="45">
        <f t="shared" si="94"/>
        <v>-1</v>
      </c>
      <c r="M298" s="45">
        <f t="shared" si="94"/>
        <v>9</v>
      </c>
      <c r="N298" s="104"/>
    </row>
    <row r="299" spans="1:14" x14ac:dyDescent="0.2">
      <c r="A299" s="20" t="s">
        <v>148</v>
      </c>
      <c r="B299" s="16">
        <v>3</v>
      </c>
      <c r="C299" s="45" t="s">
        <v>79</v>
      </c>
      <c r="D299" s="45">
        <f t="shared" si="94"/>
        <v>-2.7000000000000028</v>
      </c>
      <c r="E299" s="45">
        <f t="shared" si="94"/>
        <v>0.20000000000000284</v>
      </c>
      <c r="F299" s="45">
        <f t="shared" si="94"/>
        <v>-11</v>
      </c>
      <c r="G299" s="45">
        <f t="shared" si="94"/>
        <v>-7.3999999999999986</v>
      </c>
      <c r="H299" s="45">
        <f t="shared" si="94"/>
        <v>-3.8999999999999986</v>
      </c>
      <c r="I299" s="45">
        <f t="shared" si="94"/>
        <v>-0.70000000000000284</v>
      </c>
      <c r="J299" s="45">
        <f t="shared" si="94"/>
        <v>5.2999999999999972</v>
      </c>
      <c r="K299" s="45">
        <f t="shared" si="94"/>
        <v>2.1000000000000014</v>
      </c>
      <c r="L299" s="45">
        <f t="shared" si="94"/>
        <v>-0.89999999999999858</v>
      </c>
      <c r="M299" s="45">
        <f t="shared" si="94"/>
        <v>4.3999999999999986</v>
      </c>
      <c r="N299" s="104"/>
    </row>
    <row r="300" spans="1:14" x14ac:dyDescent="0.2">
      <c r="A300" s="20" t="s">
        <v>149</v>
      </c>
      <c r="B300" s="16">
        <v>4</v>
      </c>
      <c r="C300" s="45" t="s">
        <v>79</v>
      </c>
      <c r="D300" s="45">
        <f t="shared" si="94"/>
        <v>-0.29999999999999982</v>
      </c>
      <c r="E300" s="45">
        <f t="shared" si="94"/>
        <v>-0.39999999999999991</v>
      </c>
      <c r="F300" s="45">
        <f t="shared" si="94"/>
        <v>-0.20000000000000018</v>
      </c>
      <c r="G300" s="45">
        <f t="shared" si="94"/>
        <v>-0.10000000000000009</v>
      </c>
      <c r="H300" s="45">
        <f t="shared" si="94"/>
        <v>-0.19999999999999973</v>
      </c>
      <c r="I300" s="45">
        <f t="shared" si="94"/>
        <v>-0.39999999999999991</v>
      </c>
      <c r="J300" s="45">
        <f t="shared" si="94"/>
        <v>-0.10000000000000009</v>
      </c>
      <c r="K300" s="45">
        <f t="shared" si="94"/>
        <v>-0.30000000000000027</v>
      </c>
      <c r="L300" s="45">
        <f t="shared" si="94"/>
        <v>-9.9999999999999645E-2</v>
      </c>
      <c r="M300" s="45">
        <f t="shared" si="94"/>
        <v>9.9999999999999645E-2</v>
      </c>
      <c r="N300" s="104"/>
    </row>
    <row r="301" spans="1:14" x14ac:dyDescent="0.2">
      <c r="A301" s="20" t="s">
        <v>150</v>
      </c>
      <c r="B301" s="16">
        <v>5</v>
      </c>
      <c r="C301" s="45" t="s">
        <v>79</v>
      </c>
      <c r="D301" s="45">
        <f t="shared" si="94"/>
        <v>-16</v>
      </c>
      <c r="E301" s="45">
        <f t="shared" si="94"/>
        <v>26</v>
      </c>
      <c r="F301" s="45">
        <f t="shared" si="94"/>
        <v>10</v>
      </c>
      <c r="G301" s="45">
        <f t="shared" si="94"/>
        <v>4</v>
      </c>
      <c r="H301" s="45">
        <f t="shared" si="94"/>
        <v>6</v>
      </c>
      <c r="I301" s="45">
        <f t="shared" si="94"/>
        <v>14</v>
      </c>
      <c r="J301" s="45">
        <f t="shared" si="94"/>
        <v>10</v>
      </c>
      <c r="K301" s="45">
        <f t="shared" si="94"/>
        <v>6</v>
      </c>
      <c r="L301" s="45">
        <f t="shared" si="94"/>
        <v>-8</v>
      </c>
      <c r="M301" s="45">
        <f t="shared" si="94"/>
        <v>3</v>
      </c>
      <c r="N301" s="104"/>
    </row>
    <row r="302" spans="1:14" x14ac:dyDescent="0.2">
      <c r="A302" s="20" t="s">
        <v>151</v>
      </c>
      <c r="B302" s="16">
        <v>6</v>
      </c>
      <c r="C302" s="45" t="s">
        <v>79</v>
      </c>
      <c r="D302" s="45">
        <f t="shared" si="94"/>
        <v>-52</v>
      </c>
      <c r="E302" s="45">
        <f t="shared" si="94"/>
        <v>53</v>
      </c>
      <c r="F302" s="45">
        <f t="shared" si="94"/>
        <v>59</v>
      </c>
      <c r="G302" s="45">
        <f t="shared" si="94"/>
        <v>27</v>
      </c>
      <c r="H302" s="45">
        <f t="shared" si="94"/>
        <v>-11</v>
      </c>
      <c r="I302" s="45">
        <f t="shared" si="94"/>
        <v>5</v>
      </c>
      <c r="J302" s="45">
        <f t="shared" si="94"/>
        <v>24</v>
      </c>
      <c r="K302" s="45">
        <f t="shared" si="94"/>
        <v>19</v>
      </c>
      <c r="L302" s="45">
        <f t="shared" si="94"/>
        <v>-28</v>
      </c>
      <c r="M302" s="45">
        <f t="shared" si="94"/>
        <v>19</v>
      </c>
      <c r="N302" s="104"/>
    </row>
    <row r="303" spans="1:14" x14ac:dyDescent="0.2">
      <c r="A303" s="20" t="s">
        <v>152</v>
      </c>
      <c r="B303" s="16">
        <v>7</v>
      </c>
      <c r="C303" s="45" t="s">
        <v>79</v>
      </c>
      <c r="D303" s="45">
        <f t="shared" si="94"/>
        <v>19</v>
      </c>
      <c r="E303" s="45">
        <f t="shared" si="94"/>
        <v>66</v>
      </c>
      <c r="F303" s="45">
        <f t="shared" si="94"/>
        <v>13</v>
      </c>
      <c r="G303" s="45">
        <f t="shared" si="94"/>
        <v>45</v>
      </c>
      <c r="H303" s="45">
        <f t="shared" si="94"/>
        <v>60</v>
      </c>
      <c r="I303" s="45">
        <f t="shared" si="94"/>
        <v>76</v>
      </c>
      <c r="J303" s="45">
        <f t="shared" si="94"/>
        <v>36</v>
      </c>
      <c r="K303" s="45">
        <f t="shared" si="94"/>
        <v>-22</v>
      </c>
      <c r="L303" s="45">
        <f t="shared" si="94"/>
        <v>31</v>
      </c>
      <c r="M303" s="45">
        <f t="shared" si="94"/>
        <v>97</v>
      </c>
      <c r="N303" s="104"/>
    </row>
    <row r="304" spans="1:14" x14ac:dyDescent="0.2">
      <c r="A304" s="20" t="s">
        <v>153</v>
      </c>
      <c r="B304" s="16">
        <v>8</v>
      </c>
      <c r="C304" s="45" t="s">
        <v>79</v>
      </c>
      <c r="D304" s="45">
        <f t="shared" si="94"/>
        <v>-5</v>
      </c>
      <c r="E304" s="45">
        <f t="shared" si="94"/>
        <v>13</v>
      </c>
      <c r="F304" s="45">
        <f t="shared" si="94"/>
        <v>0</v>
      </c>
      <c r="G304" s="45">
        <f t="shared" si="94"/>
        <v>5</v>
      </c>
      <c r="H304" s="45">
        <f t="shared" si="94"/>
        <v>2</v>
      </c>
      <c r="I304" s="45">
        <f t="shared" si="94"/>
        <v>2</v>
      </c>
      <c r="J304" s="45">
        <f t="shared" si="94"/>
        <v>3</v>
      </c>
      <c r="K304" s="45">
        <f t="shared" si="94"/>
        <v>-15</v>
      </c>
      <c r="L304" s="45">
        <f t="shared" si="94"/>
        <v>-8</v>
      </c>
      <c r="M304" s="45">
        <f t="shared" si="94"/>
        <v>-4</v>
      </c>
      <c r="N304" s="104"/>
    </row>
    <row r="305" spans="1:28" x14ac:dyDescent="0.2">
      <c r="A305" s="20" t="s">
        <v>154</v>
      </c>
      <c r="B305" s="16">
        <v>9</v>
      </c>
      <c r="C305" s="45" t="s">
        <v>79</v>
      </c>
      <c r="D305" s="45">
        <f t="shared" si="94"/>
        <v>-6.7999999999999972</v>
      </c>
      <c r="E305" s="45">
        <f t="shared" si="94"/>
        <v>0.39999999999999147</v>
      </c>
      <c r="F305" s="45">
        <f t="shared" si="94"/>
        <v>-5.3999999999999915</v>
      </c>
      <c r="G305" s="45">
        <f t="shared" si="94"/>
        <v>-6.6000000000000085</v>
      </c>
      <c r="H305" s="45">
        <f t="shared" si="94"/>
        <v>-4.0999999999999943</v>
      </c>
      <c r="I305" s="45">
        <f t="shared" si="94"/>
        <v>0.79999999999999716</v>
      </c>
      <c r="J305" s="45">
        <f t="shared" si="94"/>
        <v>3.5</v>
      </c>
      <c r="K305" s="45">
        <f t="shared" si="94"/>
        <v>2.4000000000000057</v>
      </c>
      <c r="L305" s="45">
        <f t="shared" si="94"/>
        <v>-1.2000000000000028</v>
      </c>
      <c r="M305" s="45">
        <f t="shared" si="94"/>
        <v>-5.4000000000000057</v>
      </c>
      <c r="N305" s="104"/>
    </row>
    <row r="306" spans="1:28" x14ac:dyDescent="0.2">
      <c r="A306" s="20" t="s">
        <v>155</v>
      </c>
      <c r="B306" s="16">
        <v>10</v>
      </c>
      <c r="C306" s="45" t="s">
        <v>79</v>
      </c>
      <c r="D306" s="45">
        <f t="shared" si="94"/>
        <v>13</v>
      </c>
      <c r="E306" s="45">
        <f t="shared" si="94"/>
        <v>4</v>
      </c>
      <c r="F306" s="45">
        <f t="shared" si="94"/>
        <v>17</v>
      </c>
      <c r="G306" s="45">
        <f t="shared" si="94"/>
        <v>12</v>
      </c>
      <c r="H306" s="45">
        <f t="shared" si="94"/>
        <v>2</v>
      </c>
      <c r="I306" s="45">
        <f t="shared" si="94"/>
        <v>6</v>
      </c>
      <c r="J306" s="45">
        <f t="shared" si="94"/>
        <v>19</v>
      </c>
      <c r="K306" s="45">
        <f t="shared" si="94"/>
        <v>49</v>
      </c>
      <c r="L306" s="45">
        <f t="shared" si="94"/>
        <v>4</v>
      </c>
      <c r="M306" s="45">
        <f t="shared" si="94"/>
        <v>5</v>
      </c>
      <c r="N306" s="104"/>
    </row>
    <row r="307" spans="1:28" x14ac:dyDescent="0.2">
      <c r="A307" s="20" t="s">
        <v>156</v>
      </c>
      <c r="B307" s="16">
        <v>11</v>
      </c>
      <c r="C307" s="45" t="s">
        <v>79</v>
      </c>
      <c r="D307" s="45">
        <f>D15-C15</f>
        <v>-21</v>
      </c>
      <c r="E307" s="45">
        <f t="shared" ref="E307:M307" si="95">E15-D15</f>
        <v>9</v>
      </c>
      <c r="F307" s="45">
        <f t="shared" si="95"/>
        <v>18</v>
      </c>
      <c r="G307" s="45">
        <f t="shared" si="95"/>
        <v>17</v>
      </c>
      <c r="H307" s="45">
        <f t="shared" si="95"/>
        <v>-3</v>
      </c>
      <c r="I307" s="45">
        <f t="shared" si="95"/>
        <v>-3</v>
      </c>
      <c r="J307" s="45">
        <f t="shared" si="95"/>
        <v>0</v>
      </c>
      <c r="K307" s="45">
        <f t="shared" si="95"/>
        <v>6</v>
      </c>
      <c r="L307" s="45">
        <f t="shared" si="95"/>
        <v>-12.099999999999994</v>
      </c>
      <c r="M307" s="45">
        <f t="shared" si="95"/>
        <v>1.7999999999999829</v>
      </c>
      <c r="N307" s="105"/>
    </row>
    <row r="309" spans="1:28" x14ac:dyDescent="0.2">
      <c r="A309" s="6" t="s">
        <v>161</v>
      </c>
    </row>
    <row r="311" spans="1:28" ht="15.75" x14ac:dyDescent="0.25">
      <c r="A311" s="9" t="s">
        <v>31</v>
      </c>
    </row>
    <row r="313" spans="1:28" ht="63.75" x14ac:dyDescent="0.2">
      <c r="A313" s="95" t="s">
        <v>146</v>
      </c>
      <c r="B313" s="96"/>
      <c r="C313" s="21">
        <v>2008</v>
      </c>
      <c r="D313" s="21">
        <v>2009</v>
      </c>
      <c r="E313" s="21">
        <v>2010</v>
      </c>
      <c r="F313" s="21">
        <v>2011</v>
      </c>
      <c r="G313" s="21">
        <v>2012</v>
      </c>
      <c r="H313" s="21">
        <v>2013</v>
      </c>
      <c r="I313" s="21">
        <v>2014</v>
      </c>
      <c r="J313" s="21">
        <v>2015</v>
      </c>
      <c r="K313" s="21">
        <v>2016</v>
      </c>
      <c r="L313" s="21">
        <v>2017</v>
      </c>
      <c r="M313" s="21">
        <v>2018</v>
      </c>
      <c r="N313" s="21">
        <v>2019</v>
      </c>
      <c r="O313" s="58" t="s">
        <v>255</v>
      </c>
      <c r="P313" s="2" t="s">
        <v>114</v>
      </c>
      <c r="Q313" s="2" t="s">
        <v>115</v>
      </c>
      <c r="R313" s="2" t="s">
        <v>111</v>
      </c>
      <c r="S313" s="2" t="s">
        <v>113</v>
      </c>
      <c r="T313" s="2" t="s">
        <v>116</v>
      </c>
      <c r="U313" s="2" t="s">
        <v>117</v>
      </c>
      <c r="V313" s="2" t="s">
        <v>118</v>
      </c>
      <c r="W313" s="2" t="s">
        <v>231</v>
      </c>
      <c r="X313" s="2" t="s">
        <v>125</v>
      </c>
      <c r="Y313" s="2" t="s">
        <v>127</v>
      </c>
      <c r="Z313" s="2" t="s">
        <v>128</v>
      </c>
      <c r="AA313" s="2" t="s">
        <v>130</v>
      </c>
      <c r="AB313" s="2" t="s">
        <v>131</v>
      </c>
    </row>
    <row r="314" spans="1:28" x14ac:dyDescent="0.2">
      <c r="A314" s="16" t="s">
        <v>13</v>
      </c>
      <c r="B314" s="16" t="s">
        <v>14</v>
      </c>
      <c r="C314" s="16">
        <v>1</v>
      </c>
      <c r="D314" s="16">
        <v>2</v>
      </c>
      <c r="E314" s="16">
        <v>3</v>
      </c>
      <c r="F314" s="16">
        <v>4</v>
      </c>
      <c r="G314" s="16">
        <v>5</v>
      </c>
      <c r="H314" s="16">
        <v>6</v>
      </c>
      <c r="I314" s="16">
        <v>7</v>
      </c>
      <c r="J314" s="16">
        <v>8</v>
      </c>
      <c r="K314" s="16">
        <v>9</v>
      </c>
      <c r="L314" s="16">
        <v>10</v>
      </c>
      <c r="M314" s="16">
        <v>11</v>
      </c>
      <c r="N314" s="16">
        <v>12</v>
      </c>
      <c r="O314" s="16">
        <v>13</v>
      </c>
      <c r="P314" s="15">
        <v>14</v>
      </c>
      <c r="Q314" s="15">
        <v>15</v>
      </c>
      <c r="R314" s="15">
        <v>16</v>
      </c>
      <c r="S314" s="15">
        <v>17</v>
      </c>
      <c r="T314" s="15">
        <v>18</v>
      </c>
      <c r="U314" s="15">
        <v>19</v>
      </c>
      <c r="V314" s="15">
        <v>20</v>
      </c>
      <c r="W314" s="15">
        <v>21</v>
      </c>
      <c r="X314" s="15">
        <v>22</v>
      </c>
      <c r="Y314" s="15">
        <v>23</v>
      </c>
      <c r="Z314" s="15">
        <v>24</v>
      </c>
      <c r="AA314" s="15">
        <v>25</v>
      </c>
      <c r="AB314" s="15">
        <v>26</v>
      </c>
    </row>
    <row r="315" spans="1:28" ht="30" x14ac:dyDescent="0.2">
      <c r="A315" s="55" t="s">
        <v>157</v>
      </c>
      <c r="B315" s="16">
        <v>1</v>
      </c>
      <c r="C315" s="45" t="s">
        <v>79</v>
      </c>
      <c r="D315" s="45">
        <f>(D5/C5)*100</f>
        <v>100</v>
      </c>
      <c r="E315" s="45">
        <f t="shared" ref="E315:M315" si="96">(E5/D5)*100</f>
        <v>99.949924887330994</v>
      </c>
      <c r="F315" s="45">
        <f t="shared" si="96"/>
        <v>99.674348697394791</v>
      </c>
      <c r="G315" s="45">
        <f t="shared" si="96"/>
        <v>102.9907011812013</v>
      </c>
      <c r="H315" s="45">
        <f t="shared" si="96"/>
        <v>100.46364080039044</v>
      </c>
      <c r="I315" s="45">
        <f t="shared" si="96"/>
        <v>102.33179499635656</v>
      </c>
      <c r="J315" s="45">
        <f t="shared" si="96"/>
        <v>102.44481367196772</v>
      </c>
      <c r="K315" s="45">
        <f t="shared" si="96"/>
        <v>101.36700648748842</v>
      </c>
      <c r="L315" s="45">
        <f t="shared" si="96"/>
        <v>100.0457142857143</v>
      </c>
      <c r="M315" s="45">
        <f t="shared" si="96"/>
        <v>102.39890335846471</v>
      </c>
      <c r="N315" s="103" t="s">
        <v>6</v>
      </c>
      <c r="O315" s="45">
        <f>POWER(PRODUCT(D315:M315), 1/COUNTA(D315:M315))</f>
        <v>101.15943130282318</v>
      </c>
      <c r="P315" s="42">
        <f xml:space="preserve"> QUARTILE(C315:M315,0)</f>
        <v>99.674348697394791</v>
      </c>
      <c r="Q315" s="42">
        <f>QUARTILE(C315:M315, 4)</f>
        <v>102.9907011812013</v>
      </c>
      <c r="R315" s="42">
        <f>Q315-P315</f>
        <v>3.3163524838065115</v>
      </c>
      <c r="S315" s="42">
        <f>QUARTILE(C315:M315,2)</f>
        <v>100.91532364393943</v>
      </c>
      <c r="T315" s="42">
        <f>QUARTILE(C315:M315,1)</f>
        <v>100.01142857142858</v>
      </c>
      <c r="U315" s="42">
        <f>QUARTILE(C315:M315,3)</f>
        <v>102.38212626793768</v>
      </c>
      <c r="V315" s="42" t="s">
        <v>256</v>
      </c>
      <c r="W315" s="42">
        <f>SUM(I25:I34)/COUNTA(I25:I34)</f>
        <v>1.1399591024648204</v>
      </c>
      <c r="X315" s="42">
        <f>SUM(J25:J34)/COUNTA(J25:J34)</f>
        <v>1.4696719343785447</v>
      </c>
      <c r="Y315" s="42">
        <f>SQRT(X315)</f>
        <v>1.21230026576692</v>
      </c>
      <c r="Z315" s="42">
        <f>R315/O315*100</f>
        <v>3.2783423563136993</v>
      </c>
      <c r="AA315" s="42">
        <f>W315/O315*100</f>
        <v>1.1268935459436555</v>
      </c>
      <c r="AB315" s="42">
        <f>Y315/O315*100</f>
        <v>1.1984055763795964</v>
      </c>
    </row>
    <row r="316" spans="1:28" ht="30" x14ac:dyDescent="0.2">
      <c r="A316" s="20" t="s">
        <v>147</v>
      </c>
      <c r="B316" s="16">
        <v>2</v>
      </c>
      <c r="C316" s="45" t="s">
        <v>79</v>
      </c>
      <c r="D316" s="45">
        <f t="shared" ref="D316:M325" si="97">(D6/C6)*100</f>
        <v>101.22950819672131</v>
      </c>
      <c r="E316" s="45">
        <f t="shared" si="97"/>
        <v>102.42914979757086</v>
      </c>
      <c r="F316" s="45">
        <f t="shared" si="97"/>
        <v>101.18577075098814</v>
      </c>
      <c r="G316" s="45">
        <f t="shared" si="97"/>
        <v>101.3671875</v>
      </c>
      <c r="H316" s="45">
        <f t="shared" si="97"/>
        <v>100.57803468208093</v>
      </c>
      <c r="I316" s="45">
        <f t="shared" si="97"/>
        <v>100.76628352490422</v>
      </c>
      <c r="J316" s="45">
        <f t="shared" si="97"/>
        <v>101.71102661596959</v>
      </c>
      <c r="K316" s="45">
        <f t="shared" si="97"/>
        <v>102.42990654205609</v>
      </c>
      <c r="L316" s="45">
        <f t="shared" si="97"/>
        <v>99.81751824817519</v>
      </c>
      <c r="M316" s="45">
        <f t="shared" si="97"/>
        <v>101.64533820840951</v>
      </c>
      <c r="N316" s="104"/>
      <c r="O316" s="45">
        <f t="shared" ref="O316:O325" si="98">POWER(PRODUCT(D316:M316), 1/COUNTA(D316:M316))</f>
        <v>101.3130749836988</v>
      </c>
      <c r="P316" s="42">
        <f t="shared" ref="P316:P325" si="99" xml:space="preserve"> QUARTILE(C316:M316,0)</f>
        <v>99.81751824817519</v>
      </c>
      <c r="Q316" s="42">
        <f>QUARTILE(C316:M316, 4)</f>
        <v>102.42990654205609</v>
      </c>
      <c r="R316" s="42">
        <f t="shared" ref="R316:R325" si="100">Q316-P316</f>
        <v>2.6123882938808975</v>
      </c>
      <c r="S316" s="42">
        <f t="shared" ref="S316:S325" si="101">QUARTILE(C316:M316,2)</f>
        <v>101.29834784836066</v>
      </c>
      <c r="T316" s="42">
        <f t="shared" ref="T316:T325" si="102">QUARTILE(C316:M316,1)</f>
        <v>100.8711553314252</v>
      </c>
      <c r="U316" s="42">
        <f t="shared" ref="U316:U325" si="103">QUARTILE(C316:M316,3)</f>
        <v>101.69460451407957</v>
      </c>
      <c r="V316" s="42" t="s">
        <v>257</v>
      </c>
      <c r="W316" s="42">
        <f>SUM(I46:I55)/COUNTA(I46:I55)</f>
        <v>0.60054932611362521</v>
      </c>
      <c r="X316" s="42">
        <f>SUM(J46:J55)/COUNTA(J46:J55)</f>
        <v>0.58637731055799314</v>
      </c>
      <c r="Y316" s="42">
        <f t="shared" ref="Y316:Y325" si="104">SQRT(X316)</f>
        <v>0.76575277378406748</v>
      </c>
      <c r="Z316" s="42">
        <f>R316/O316*100</f>
        <v>2.5785302581144922</v>
      </c>
      <c r="AA316" s="42">
        <f>W316/O316*100</f>
        <v>0.59276586581766788</v>
      </c>
      <c r="AB316" s="42">
        <f>Y316/O316*100</f>
        <v>0.75582818299343546</v>
      </c>
    </row>
    <row r="317" spans="1:28" x14ac:dyDescent="0.2">
      <c r="A317" s="20" t="s">
        <v>148</v>
      </c>
      <c r="B317" s="16">
        <v>3</v>
      </c>
      <c r="C317" s="45" t="s">
        <v>79</v>
      </c>
      <c r="D317" s="45">
        <f t="shared" si="97"/>
        <v>95.877862595419842</v>
      </c>
      <c r="E317" s="45">
        <f t="shared" si="97"/>
        <v>100.31847133757962</v>
      </c>
      <c r="F317" s="45">
        <f t="shared" si="97"/>
        <v>82.539682539682531</v>
      </c>
      <c r="G317" s="45">
        <f t="shared" si="97"/>
        <v>85.769230769230774</v>
      </c>
      <c r="H317" s="45">
        <f t="shared" si="97"/>
        <v>91.255605381165921</v>
      </c>
      <c r="I317" s="45">
        <f t="shared" si="97"/>
        <v>98.280098280098272</v>
      </c>
      <c r="J317" s="45">
        <f t="shared" si="97"/>
        <v>113.24999999999999</v>
      </c>
      <c r="K317" s="45">
        <f t="shared" si="97"/>
        <v>104.63576158940397</v>
      </c>
      <c r="L317" s="45">
        <f t="shared" si="97"/>
        <v>98.101265822784811</v>
      </c>
      <c r="M317" s="45">
        <f t="shared" si="97"/>
        <v>109.46236559139784</v>
      </c>
      <c r="N317" s="104"/>
      <c r="O317" s="45">
        <f t="shared" si="98"/>
        <v>97.509661371037936</v>
      </c>
      <c r="P317" s="42">
        <f t="shared" si="99"/>
        <v>82.539682539682531</v>
      </c>
      <c r="Q317" s="42">
        <f t="shared" ref="Q317:Q325" si="105">QUARTILE(C317:M317, 4)</f>
        <v>113.24999999999999</v>
      </c>
      <c r="R317" s="42">
        <f t="shared" si="100"/>
        <v>30.710317460317455</v>
      </c>
      <c r="S317" s="42">
        <f t="shared" si="101"/>
        <v>98.190682051441541</v>
      </c>
      <c r="T317" s="42">
        <f t="shared" si="102"/>
        <v>92.411169684729401</v>
      </c>
      <c r="U317" s="42">
        <f t="shared" si="103"/>
        <v>103.55643902644789</v>
      </c>
      <c r="V317" s="42" t="s">
        <v>258</v>
      </c>
      <c r="W317" s="42">
        <f>SUM(I67:I76)/COUNTA(I67:I76)</f>
        <v>7.3586258593689564</v>
      </c>
      <c r="X317" s="42">
        <f>SUM(J67:J76)/COUNTA(J67:J76)</f>
        <v>85.395364543795566</v>
      </c>
      <c r="Y317" s="42">
        <f t="shared" si="104"/>
        <v>9.240961234838915</v>
      </c>
      <c r="Z317" s="42">
        <f>R317/O317*100</f>
        <v>31.494640662795852</v>
      </c>
      <c r="AA317" s="42">
        <f>W317/O317*100</f>
        <v>7.546560777570904</v>
      </c>
      <c r="AB317" s="42">
        <f>Y317/O317*100</f>
        <v>9.4769698765292212</v>
      </c>
    </row>
    <row r="318" spans="1:28" x14ac:dyDescent="0.2">
      <c r="A318" s="20" t="s">
        <v>149</v>
      </c>
      <c r="B318" s="16">
        <v>4</v>
      </c>
      <c r="C318" s="45" t="s">
        <v>79</v>
      </c>
      <c r="D318" s="45">
        <f t="shared" si="97"/>
        <v>93.023255813953483</v>
      </c>
      <c r="E318" s="45">
        <f t="shared" si="97"/>
        <v>90</v>
      </c>
      <c r="F318" s="45">
        <f t="shared" si="97"/>
        <v>94.444444444444443</v>
      </c>
      <c r="G318" s="45">
        <f t="shared" si="97"/>
        <v>97.058823529411768</v>
      </c>
      <c r="H318" s="45">
        <f t="shared" si="97"/>
        <v>93.939393939393938</v>
      </c>
      <c r="I318" s="45">
        <f t="shared" si="97"/>
        <v>87.096774193548384</v>
      </c>
      <c r="J318" s="45">
        <f t="shared" si="97"/>
        <v>96.296296296296291</v>
      </c>
      <c r="K318" s="45">
        <f t="shared" si="97"/>
        <v>88.461538461538453</v>
      </c>
      <c r="L318" s="45">
        <f t="shared" si="97"/>
        <v>95.652173913043498</v>
      </c>
      <c r="M318" s="45">
        <f t="shared" si="97"/>
        <v>104.54545454545452</v>
      </c>
      <c r="N318" s="104"/>
      <c r="O318" s="45">
        <f t="shared" si="98"/>
        <v>93.934675200797045</v>
      </c>
      <c r="P318" s="42">
        <f t="shared" si="99"/>
        <v>87.096774193548384</v>
      </c>
      <c r="Q318" s="42">
        <f t="shared" si="105"/>
        <v>104.54545454545452</v>
      </c>
      <c r="R318" s="42">
        <f t="shared" si="100"/>
        <v>17.448680351906134</v>
      </c>
      <c r="S318" s="42">
        <f t="shared" si="101"/>
        <v>94.191919191919197</v>
      </c>
      <c r="T318" s="42">
        <f t="shared" si="102"/>
        <v>90.755813953488371</v>
      </c>
      <c r="U318" s="42">
        <f t="shared" si="103"/>
        <v>96.135265700483089</v>
      </c>
      <c r="V318" s="42" t="s">
        <v>259</v>
      </c>
      <c r="W318" s="42">
        <f>SUM(I88:I97)/COUNTA(I88:I97)</f>
        <v>3.5485667797410043</v>
      </c>
      <c r="X318" s="42">
        <f>SUM(J88:J97)/COUNTA(J88:J97)</f>
        <v>22.416035423976989</v>
      </c>
      <c r="Y318" s="42">
        <f t="shared" si="104"/>
        <v>4.7345575742593935</v>
      </c>
      <c r="Z318" s="42">
        <f>R318/O318*100</f>
        <v>18.575334736195565</v>
      </c>
      <c r="AA318" s="42">
        <f>W318/O318*100</f>
        <v>3.7776963322175776</v>
      </c>
      <c r="AB318" s="42">
        <f>Y318/O318*100</f>
        <v>5.0402660829333668</v>
      </c>
    </row>
    <row r="319" spans="1:28" ht="30" x14ac:dyDescent="0.2">
      <c r="A319" s="20" t="s">
        <v>150</v>
      </c>
      <c r="B319" s="16">
        <v>5</v>
      </c>
      <c r="C319" s="45" t="s">
        <v>79</v>
      </c>
      <c r="D319" s="45">
        <f t="shared" si="97"/>
        <v>87.096774193548384</v>
      </c>
      <c r="E319" s="45">
        <f t="shared" si="97"/>
        <v>124.07407407407408</v>
      </c>
      <c r="F319" s="45">
        <f t="shared" si="97"/>
        <v>107.46268656716418</v>
      </c>
      <c r="G319" s="45">
        <f t="shared" si="97"/>
        <v>102.77777777777777</v>
      </c>
      <c r="H319" s="45">
        <f t="shared" si="97"/>
        <v>104.05405405405406</v>
      </c>
      <c r="I319" s="45">
        <f t="shared" si="97"/>
        <v>109.09090909090908</v>
      </c>
      <c r="J319" s="45">
        <f t="shared" si="97"/>
        <v>105.95238095238095</v>
      </c>
      <c r="K319" s="45">
        <f t="shared" si="97"/>
        <v>103.37078651685394</v>
      </c>
      <c r="L319" s="45">
        <f t="shared" si="97"/>
        <v>95.652173913043484</v>
      </c>
      <c r="M319" s="45">
        <f t="shared" si="97"/>
        <v>101.70454545454545</v>
      </c>
      <c r="N319" s="104"/>
      <c r="O319" s="45">
        <f t="shared" si="98"/>
        <v>103.73925733716996</v>
      </c>
      <c r="P319" s="42">
        <f t="shared" si="99"/>
        <v>87.096774193548384</v>
      </c>
      <c r="Q319" s="42">
        <f t="shared" si="105"/>
        <v>124.07407407407408</v>
      </c>
      <c r="R319" s="42">
        <f t="shared" si="100"/>
        <v>36.977299880525692</v>
      </c>
      <c r="S319" s="42">
        <f t="shared" si="101"/>
        <v>103.712420285454</v>
      </c>
      <c r="T319" s="42">
        <f t="shared" si="102"/>
        <v>101.97285353535354</v>
      </c>
      <c r="U319" s="42">
        <f t="shared" si="103"/>
        <v>107.08511016346837</v>
      </c>
      <c r="V319" s="42" t="s">
        <v>260</v>
      </c>
      <c r="W319" s="42">
        <f>SUM(I109:I118)/COUNTA(I109:I118)</f>
        <v>6.0032046882813317</v>
      </c>
      <c r="X319" s="42">
        <f>SUM(J109:J118)/COUNTA(J109:J118)</f>
        <v>80.857931618507195</v>
      </c>
      <c r="Y319" s="42">
        <f t="shared" si="104"/>
        <v>8.9921038482941906</v>
      </c>
      <c r="Z319" s="42">
        <f t="shared" ref="Z319:Z325" si="106">R319/O319*100</f>
        <v>35.644461729992223</v>
      </c>
      <c r="AA319" s="42">
        <f t="shared" ref="AA319:AA325" si="107">W319/O319*100</f>
        <v>5.7868205753294637</v>
      </c>
      <c r="AB319" s="42">
        <f t="shared" ref="AB319:AB325" si="108">Y319/O319*100</f>
        <v>8.6679855621757032</v>
      </c>
    </row>
    <row r="320" spans="1:28" ht="30" x14ac:dyDescent="0.2">
      <c r="A320" s="20" t="s">
        <v>151</v>
      </c>
      <c r="B320" s="16">
        <v>6</v>
      </c>
      <c r="C320" s="45" t="s">
        <v>79</v>
      </c>
      <c r="D320" s="45">
        <f t="shared" si="97"/>
        <v>88.695652173913047</v>
      </c>
      <c r="E320" s="45">
        <f t="shared" si="97"/>
        <v>112.99019607843137</v>
      </c>
      <c r="F320" s="45">
        <f t="shared" si="97"/>
        <v>112.79826464208243</v>
      </c>
      <c r="G320" s="45">
        <f t="shared" si="97"/>
        <v>105.19230769230769</v>
      </c>
      <c r="H320" s="45">
        <f t="shared" si="97"/>
        <v>97.989031078610594</v>
      </c>
      <c r="I320" s="45">
        <f t="shared" si="97"/>
        <v>100.93283582089552</v>
      </c>
      <c r="J320" s="45">
        <f t="shared" si="97"/>
        <v>104.43622920517559</v>
      </c>
      <c r="K320" s="45">
        <f t="shared" si="97"/>
        <v>103.36283185840709</v>
      </c>
      <c r="L320" s="45">
        <f t="shared" si="97"/>
        <v>95.205479452054803</v>
      </c>
      <c r="M320" s="45">
        <f t="shared" si="97"/>
        <v>103.41726618705036</v>
      </c>
      <c r="N320" s="104"/>
      <c r="O320" s="45">
        <f t="shared" si="98"/>
        <v>102.25651825635732</v>
      </c>
      <c r="P320" s="42">
        <f t="shared" si="99"/>
        <v>88.695652173913047</v>
      </c>
      <c r="Q320" s="42">
        <f t="shared" si="105"/>
        <v>112.99019607843137</v>
      </c>
      <c r="R320" s="42">
        <f t="shared" si="100"/>
        <v>24.294543904518321</v>
      </c>
      <c r="S320" s="42">
        <f t="shared" si="101"/>
        <v>103.39004902272873</v>
      </c>
      <c r="T320" s="42">
        <f t="shared" si="102"/>
        <v>98.724982264181818</v>
      </c>
      <c r="U320" s="42">
        <f t="shared" si="103"/>
        <v>105.00328807052466</v>
      </c>
      <c r="V320" s="42" t="s">
        <v>261</v>
      </c>
      <c r="W320" s="42">
        <f>SUM(I130:I139)/COUNTA(I130:I139)</f>
        <v>5.4861060625265923</v>
      </c>
      <c r="X320" s="42">
        <f>SUM(J130:J139)/COUNTA(J130:J139)</f>
        <v>49.585934055430734</v>
      </c>
      <c r="Y320" s="42">
        <f t="shared" si="104"/>
        <v>7.0417280588951128</v>
      </c>
      <c r="Z320" s="42">
        <f t="shared" si="106"/>
        <v>23.75843058103332</v>
      </c>
      <c r="AA320" s="42">
        <f t="shared" si="107"/>
        <v>5.3650428902467731</v>
      </c>
      <c r="AB320" s="42">
        <f t="shared" si="108"/>
        <v>6.8863366159617172</v>
      </c>
    </row>
    <row r="321" spans="1:28" ht="30" x14ac:dyDescent="0.2">
      <c r="A321" s="20" t="s">
        <v>152</v>
      </c>
      <c r="B321" s="16">
        <v>7</v>
      </c>
      <c r="C321" s="45" t="s">
        <v>79</v>
      </c>
      <c r="D321" s="45">
        <f t="shared" si="97"/>
        <v>107.75510204081633</v>
      </c>
      <c r="E321" s="45">
        <f t="shared" si="97"/>
        <v>125</v>
      </c>
      <c r="F321" s="45">
        <f t="shared" si="97"/>
        <v>103.93939393939394</v>
      </c>
      <c r="G321" s="45">
        <f t="shared" si="97"/>
        <v>113.11953352769679</v>
      </c>
      <c r="H321" s="45">
        <f t="shared" si="97"/>
        <v>115.46391752577318</v>
      </c>
      <c r="I321" s="45">
        <f t="shared" si="97"/>
        <v>116.96428571428572</v>
      </c>
      <c r="J321" s="45">
        <f t="shared" si="97"/>
        <v>106.87022900763358</v>
      </c>
      <c r="K321" s="45">
        <f t="shared" si="97"/>
        <v>96.071428571428569</v>
      </c>
      <c r="L321" s="45">
        <f t="shared" si="97"/>
        <v>105.76208178438662</v>
      </c>
      <c r="M321" s="45">
        <f t="shared" si="97"/>
        <v>117.04745166959579</v>
      </c>
      <c r="N321" s="104"/>
      <c r="O321" s="45">
        <f t="shared" si="98"/>
        <v>110.51743949483462</v>
      </c>
      <c r="P321" s="42">
        <f t="shared" si="99"/>
        <v>96.071428571428569</v>
      </c>
      <c r="Q321" s="42">
        <f t="shared" si="105"/>
        <v>125</v>
      </c>
      <c r="R321" s="42">
        <f t="shared" si="100"/>
        <v>28.928571428571431</v>
      </c>
      <c r="S321" s="42">
        <f t="shared" si="101"/>
        <v>110.43731778425655</v>
      </c>
      <c r="T321" s="42">
        <f t="shared" si="102"/>
        <v>106.03911859019837</v>
      </c>
      <c r="U321" s="42">
        <f t="shared" si="103"/>
        <v>116.58919366715759</v>
      </c>
      <c r="V321" s="42" t="s">
        <v>262</v>
      </c>
      <c r="W321" s="42">
        <f>SUM(I151:I160)/COUNTA(I151:I160)</f>
        <v>6.7196953093692446</v>
      </c>
      <c r="X321" s="42">
        <f>SUM(J151:J160)/COUNTA(J151:J160)</f>
        <v>62.068997666272956</v>
      </c>
      <c r="Y321" s="42">
        <f t="shared" si="104"/>
        <v>7.8783880119141729</v>
      </c>
      <c r="Z321" s="42">
        <f t="shared" si="106"/>
        <v>26.175571530431174</v>
      </c>
      <c r="AA321" s="42">
        <f t="shared" si="107"/>
        <v>6.080212625341642</v>
      </c>
      <c r="AB321" s="42">
        <f t="shared" si="108"/>
        <v>7.1286378402590431</v>
      </c>
    </row>
    <row r="322" spans="1:28" ht="30" x14ac:dyDescent="0.2">
      <c r="A322" s="20" t="s">
        <v>153</v>
      </c>
      <c r="B322" s="16">
        <v>8</v>
      </c>
      <c r="C322" s="45" t="s">
        <v>79</v>
      </c>
      <c r="D322" s="45">
        <f t="shared" si="97"/>
        <v>97.435897435897431</v>
      </c>
      <c r="E322" s="45">
        <f t="shared" si="97"/>
        <v>106.84210526315789</v>
      </c>
      <c r="F322" s="45">
        <f t="shared" si="97"/>
        <v>100</v>
      </c>
      <c r="G322" s="45">
        <f t="shared" si="97"/>
        <v>102.46305418719213</v>
      </c>
      <c r="H322" s="45">
        <f t="shared" si="97"/>
        <v>100.96153846153845</v>
      </c>
      <c r="I322" s="45">
        <f t="shared" si="97"/>
        <v>100.95238095238095</v>
      </c>
      <c r="J322" s="45">
        <f t="shared" si="97"/>
        <v>101.41509433962264</v>
      </c>
      <c r="K322" s="45">
        <f t="shared" si="97"/>
        <v>93.023255813953483</v>
      </c>
      <c r="L322" s="45">
        <f t="shared" si="97"/>
        <v>96</v>
      </c>
      <c r="M322" s="45">
        <f t="shared" si="97"/>
        <v>97.916666666666657</v>
      </c>
      <c r="N322" s="104"/>
      <c r="O322" s="45">
        <f t="shared" si="98"/>
        <v>99.635091458013946</v>
      </c>
      <c r="P322" s="42">
        <f t="shared" si="99"/>
        <v>93.023255813953483</v>
      </c>
      <c r="Q322" s="42">
        <f t="shared" si="105"/>
        <v>106.84210526315789</v>
      </c>
      <c r="R322" s="42">
        <f t="shared" si="100"/>
        <v>13.818849449204407</v>
      </c>
      <c r="S322" s="42">
        <f t="shared" si="101"/>
        <v>100.47619047619048</v>
      </c>
      <c r="T322" s="42">
        <f t="shared" si="102"/>
        <v>97.556089743589737</v>
      </c>
      <c r="U322" s="42">
        <f t="shared" si="103"/>
        <v>101.30170537010159</v>
      </c>
      <c r="V322" s="42" t="s">
        <v>263</v>
      </c>
      <c r="W322" s="42">
        <f>SUM(I172:I181)/COUNTA(I172:I181)</f>
        <v>2.89881703713466</v>
      </c>
      <c r="X322" s="42">
        <f>SUM(J172:J181)/COUNTA(J172:J181)</f>
        <v>13.145440155545918</v>
      </c>
      <c r="Y322" s="42">
        <f t="shared" si="104"/>
        <v>3.6256640985543487</v>
      </c>
      <c r="Z322" s="42">
        <f t="shared" si="106"/>
        <v>13.86946029454657</v>
      </c>
      <c r="AA322" s="42">
        <f t="shared" si="107"/>
        <v>2.9094338096294279</v>
      </c>
      <c r="AB322" s="42">
        <f t="shared" si="108"/>
        <v>3.6389429120785195</v>
      </c>
    </row>
    <row r="323" spans="1:28" x14ac:dyDescent="0.2">
      <c r="A323" s="20" t="s">
        <v>154</v>
      </c>
      <c r="B323" s="16">
        <v>9</v>
      </c>
      <c r="C323" s="45" t="s">
        <v>79</v>
      </c>
      <c r="D323" s="45">
        <f t="shared" si="97"/>
        <v>93.584905660377359</v>
      </c>
      <c r="E323" s="45">
        <f t="shared" si="97"/>
        <v>100.4032258064516</v>
      </c>
      <c r="F323" s="45">
        <f t="shared" si="97"/>
        <v>94.578313253012055</v>
      </c>
      <c r="G323" s="45">
        <f t="shared" si="97"/>
        <v>92.993630573248396</v>
      </c>
      <c r="H323" s="45">
        <f t="shared" si="97"/>
        <v>95.319634703196357</v>
      </c>
      <c r="I323" s="45">
        <f t="shared" si="97"/>
        <v>100.95808383233533</v>
      </c>
      <c r="J323" s="45">
        <f t="shared" si="97"/>
        <v>104.15183867141162</v>
      </c>
      <c r="K323" s="45">
        <f t="shared" si="97"/>
        <v>102.73348519362186</v>
      </c>
      <c r="L323" s="45">
        <f t="shared" si="97"/>
        <v>98.669623059866964</v>
      </c>
      <c r="M323" s="45">
        <f t="shared" si="97"/>
        <v>93.932584269662911</v>
      </c>
      <c r="N323" s="104"/>
      <c r="O323" s="45">
        <f t="shared" si="98"/>
        <v>97.654000925818522</v>
      </c>
      <c r="P323" s="42">
        <f t="shared" si="99"/>
        <v>92.993630573248396</v>
      </c>
      <c r="Q323" s="42">
        <f t="shared" si="105"/>
        <v>104.15183867141162</v>
      </c>
      <c r="R323" s="42">
        <f t="shared" si="100"/>
        <v>11.158208098163229</v>
      </c>
      <c r="S323" s="42">
        <f t="shared" si="101"/>
        <v>96.994628881531668</v>
      </c>
      <c r="T323" s="42">
        <f t="shared" si="102"/>
        <v>94.094016515500201</v>
      </c>
      <c r="U323" s="42">
        <f t="shared" si="103"/>
        <v>100.8193693258644</v>
      </c>
      <c r="V323" s="42" t="s">
        <v>264</v>
      </c>
      <c r="W323" s="42">
        <f>SUM(I193:I202)/COUNTA(I193:I202)</f>
        <v>3.6507188104190305</v>
      </c>
      <c r="X323" s="42">
        <f>SUM(J193:J202)/COUNTA(J193:J202)</f>
        <v>15.456439576454935</v>
      </c>
      <c r="Y323" s="42">
        <f t="shared" si="104"/>
        <v>3.9314678653722881</v>
      </c>
      <c r="Z323" s="42">
        <f t="shared" si="106"/>
        <v>11.426268245414137</v>
      </c>
      <c r="AA323" s="42">
        <f t="shared" si="107"/>
        <v>3.7384221596739771</v>
      </c>
      <c r="AB323" s="42">
        <f t="shared" si="108"/>
        <v>4.025915813074338</v>
      </c>
    </row>
    <row r="324" spans="1:28" ht="30" x14ac:dyDescent="0.2">
      <c r="A324" s="20" t="s">
        <v>155</v>
      </c>
      <c r="B324" s="16">
        <v>10</v>
      </c>
      <c r="C324" s="45" t="s">
        <v>79</v>
      </c>
      <c r="D324" s="45">
        <f t="shared" si="97"/>
        <v>112.99999999999999</v>
      </c>
      <c r="E324" s="45">
        <f t="shared" si="97"/>
        <v>103.53982300884957</v>
      </c>
      <c r="F324" s="45">
        <f t="shared" si="97"/>
        <v>114.52991452991452</v>
      </c>
      <c r="G324" s="45">
        <f t="shared" si="97"/>
        <v>108.95522388059702</v>
      </c>
      <c r="H324" s="45">
        <f t="shared" si="97"/>
        <v>101.36986301369863</v>
      </c>
      <c r="I324" s="45">
        <f t="shared" si="97"/>
        <v>104.05405405405406</v>
      </c>
      <c r="J324" s="45">
        <f t="shared" si="97"/>
        <v>112.33766233766234</v>
      </c>
      <c r="K324" s="45">
        <f t="shared" si="97"/>
        <v>128.3236994219653</v>
      </c>
      <c r="L324" s="45">
        <f t="shared" si="97"/>
        <v>101.8018018018018</v>
      </c>
      <c r="M324" s="45">
        <f t="shared" si="97"/>
        <v>102.21238938053096</v>
      </c>
      <c r="N324" s="104"/>
      <c r="O324" s="45">
        <f t="shared" si="98"/>
        <v>108.73295678204235</v>
      </c>
      <c r="P324" s="42">
        <f t="shared" si="99"/>
        <v>101.36986301369863</v>
      </c>
      <c r="Q324" s="42">
        <f t="shared" si="105"/>
        <v>128.3236994219653</v>
      </c>
      <c r="R324" s="42">
        <f t="shared" si="100"/>
        <v>26.953836408266667</v>
      </c>
      <c r="S324" s="42">
        <f t="shared" si="101"/>
        <v>106.50463896732555</v>
      </c>
      <c r="T324" s="42">
        <f t="shared" si="102"/>
        <v>102.54424778761062</v>
      </c>
      <c r="U324" s="42">
        <f t="shared" si="103"/>
        <v>112.83441558441558</v>
      </c>
      <c r="V324" s="42" t="s">
        <v>265</v>
      </c>
      <c r="W324" s="42">
        <f>SUM(I214:I223)/COUNTA(I214:I223)</f>
        <v>6.4168568911204131</v>
      </c>
      <c r="X324" s="42">
        <f>SUM(J214:J223)/COUNTA(J214:J223)</f>
        <v>64.228750650748637</v>
      </c>
      <c r="Y324" s="42">
        <f t="shared" si="104"/>
        <v>8.0142841633391466</v>
      </c>
      <c r="Z324" s="42">
        <f t="shared" si="106"/>
        <v>24.789021843943999</v>
      </c>
      <c r="AA324" s="42">
        <f t="shared" si="107"/>
        <v>5.9014829367540758</v>
      </c>
      <c r="AB324" s="42">
        <f t="shared" si="108"/>
        <v>7.3706118186447913</v>
      </c>
    </row>
    <row r="325" spans="1:28" ht="30" x14ac:dyDescent="0.2">
      <c r="A325" s="20" t="s">
        <v>156</v>
      </c>
      <c r="B325" s="16">
        <v>11</v>
      </c>
      <c r="C325" s="45" t="s">
        <v>79</v>
      </c>
      <c r="D325" s="45">
        <f t="shared" si="97"/>
        <v>84.444444444444443</v>
      </c>
      <c r="E325" s="45">
        <f t="shared" si="97"/>
        <v>107.89473684210526</v>
      </c>
      <c r="F325" s="45">
        <f t="shared" si="97"/>
        <v>114.63414634146341</v>
      </c>
      <c r="G325" s="45">
        <f t="shared" si="97"/>
        <v>112.05673758865248</v>
      </c>
      <c r="H325" s="45">
        <f t="shared" si="97"/>
        <v>98.101265822784811</v>
      </c>
      <c r="I325" s="45">
        <f t="shared" si="97"/>
        <v>98.064516129032256</v>
      </c>
      <c r="J325" s="45">
        <f t="shared" si="97"/>
        <v>100</v>
      </c>
      <c r="K325" s="45">
        <f t="shared" si="97"/>
        <v>103.94736842105263</v>
      </c>
      <c r="L325" s="45">
        <f t="shared" si="97"/>
        <v>92.341772151898738</v>
      </c>
      <c r="M325" s="45">
        <f t="shared" si="97"/>
        <v>101.23372172721041</v>
      </c>
      <c r="N325" s="105"/>
      <c r="O325" s="45">
        <f t="shared" si="98"/>
        <v>100.90313801240185</v>
      </c>
      <c r="P325" s="42">
        <f t="shared" si="99"/>
        <v>84.444444444444443</v>
      </c>
      <c r="Q325" s="42">
        <f t="shared" si="105"/>
        <v>114.63414634146341</v>
      </c>
      <c r="R325" s="42">
        <f t="shared" si="100"/>
        <v>30.189701897018963</v>
      </c>
      <c r="S325" s="42">
        <f t="shared" si="101"/>
        <v>100.61686086360521</v>
      </c>
      <c r="T325" s="42">
        <f t="shared" si="102"/>
        <v>98.073703552470391</v>
      </c>
      <c r="U325" s="42">
        <f t="shared" si="103"/>
        <v>106.90789473684211</v>
      </c>
      <c r="V325" s="42" t="s">
        <v>266</v>
      </c>
      <c r="W325" s="42">
        <f>SUM(I235:I244)/COUNTA(I235:I244)</f>
        <v>6.6814712372323939</v>
      </c>
      <c r="X325" s="42">
        <f>SUM(J235:J244)/COUNTA(J235:J244)</f>
        <v>73.211195140350682</v>
      </c>
      <c r="Y325" s="42">
        <f t="shared" si="104"/>
        <v>8.5563540798841817</v>
      </c>
      <c r="Z325" s="42">
        <f t="shared" si="106"/>
        <v>29.919487631106566</v>
      </c>
      <c r="AA325" s="42">
        <f t="shared" si="107"/>
        <v>6.6216684325627062</v>
      </c>
      <c r="AB325" s="42">
        <f t="shared" si="108"/>
        <v>8.4797700531697373</v>
      </c>
    </row>
    <row r="327" spans="1:28" x14ac:dyDescent="0.2">
      <c r="A327" s="6" t="s">
        <v>161</v>
      </c>
    </row>
    <row r="329" spans="1:28" ht="15.75" x14ac:dyDescent="0.25">
      <c r="A329" s="9" t="s">
        <v>162</v>
      </c>
    </row>
    <row r="331" spans="1:28" x14ac:dyDescent="0.2">
      <c r="A331" s="95" t="s">
        <v>146</v>
      </c>
      <c r="B331" s="96"/>
      <c r="C331" s="21">
        <v>2008</v>
      </c>
      <c r="D331" s="21">
        <v>2009</v>
      </c>
      <c r="E331" s="21">
        <v>2010</v>
      </c>
      <c r="F331" s="21">
        <v>2011</v>
      </c>
      <c r="G331" s="21">
        <v>2012</v>
      </c>
      <c r="H331" s="21">
        <v>2013</v>
      </c>
      <c r="I331" s="21">
        <v>2014</v>
      </c>
      <c r="J331" s="21">
        <v>2015</v>
      </c>
      <c r="K331" s="21">
        <v>2016</v>
      </c>
      <c r="L331" s="21">
        <v>2017</v>
      </c>
      <c r="M331" s="21">
        <v>2018</v>
      </c>
      <c r="N331" s="21">
        <v>2019</v>
      </c>
    </row>
    <row r="332" spans="1:28" x14ac:dyDescent="0.2">
      <c r="A332" s="16" t="s">
        <v>13</v>
      </c>
      <c r="B332" s="16" t="s">
        <v>14</v>
      </c>
      <c r="C332" s="16">
        <v>1</v>
      </c>
      <c r="D332" s="16">
        <v>2</v>
      </c>
      <c r="E332" s="16">
        <v>3</v>
      </c>
      <c r="F332" s="16">
        <v>4</v>
      </c>
      <c r="G332" s="16">
        <v>5</v>
      </c>
      <c r="H332" s="16">
        <v>6</v>
      </c>
      <c r="I332" s="16">
        <v>7</v>
      </c>
      <c r="J332" s="16">
        <v>8</v>
      </c>
      <c r="K332" s="16">
        <v>9</v>
      </c>
      <c r="L332" s="16">
        <v>10</v>
      </c>
      <c r="M332" s="16">
        <v>11</v>
      </c>
      <c r="N332" s="16">
        <v>12</v>
      </c>
    </row>
    <row r="333" spans="1:28" x14ac:dyDescent="0.2">
      <c r="A333" s="20" t="s">
        <v>147</v>
      </c>
      <c r="B333" s="16">
        <v>1</v>
      </c>
      <c r="C333" s="45">
        <f t="shared" ref="C333:M333" si="109">(C6/C$5)*100</f>
        <v>12.218327491236854</v>
      </c>
      <c r="D333" s="45">
        <f t="shared" si="109"/>
        <v>12.368552829243866</v>
      </c>
      <c r="E333" s="45">
        <f t="shared" si="109"/>
        <v>12.675350701402804</v>
      </c>
      <c r="F333" s="45">
        <f t="shared" si="109"/>
        <v>12.867554661975369</v>
      </c>
      <c r="G333" s="45">
        <f t="shared" si="109"/>
        <v>12.664714494875549</v>
      </c>
      <c r="H333" s="45">
        <f t="shared" si="109"/>
        <v>12.679135292688851</v>
      </c>
      <c r="I333" s="45">
        <f t="shared" si="109"/>
        <v>12.485164965582721</v>
      </c>
      <c r="J333" s="45">
        <f t="shared" si="109"/>
        <v>12.395736793327155</v>
      </c>
      <c r="K333" s="45">
        <f t="shared" si="109"/>
        <v>12.525714285714285</v>
      </c>
      <c r="L333" s="45">
        <f t="shared" si="109"/>
        <v>12.497144162668494</v>
      </c>
      <c r="M333" s="45">
        <f t="shared" si="109"/>
        <v>12.405176260597948</v>
      </c>
      <c r="N333" s="103" t="s">
        <v>6</v>
      </c>
    </row>
    <row r="334" spans="1:28" x14ac:dyDescent="0.2">
      <c r="A334" s="20" t="s">
        <v>148</v>
      </c>
      <c r="B334" s="16">
        <v>2</v>
      </c>
      <c r="C334" s="45">
        <f t="shared" ref="C334:M334" si="110">(C7/C$5)*100</f>
        <v>1.6399599399098648</v>
      </c>
      <c r="D334" s="45">
        <f t="shared" si="110"/>
        <v>1.57235853780671</v>
      </c>
      <c r="E334" s="45">
        <f t="shared" si="110"/>
        <v>1.5781563126252502</v>
      </c>
      <c r="F334" s="45">
        <f t="shared" si="110"/>
        <v>1.3068610203568736</v>
      </c>
      <c r="G334" s="45">
        <f t="shared" si="110"/>
        <v>1.0883357735480723</v>
      </c>
      <c r="H334" s="45">
        <f t="shared" si="110"/>
        <v>0.9885839203303376</v>
      </c>
      <c r="I334" s="45">
        <f t="shared" si="110"/>
        <v>0.94944220270591018</v>
      </c>
      <c r="J334" s="45">
        <f t="shared" si="110"/>
        <v>1.0495829471733085</v>
      </c>
      <c r="K334" s="45">
        <f t="shared" si="110"/>
        <v>1.0834285714285714</v>
      </c>
      <c r="L334" s="45">
        <f t="shared" si="110"/>
        <v>1.0623714873200822</v>
      </c>
      <c r="M334" s="45">
        <f t="shared" si="110"/>
        <v>1.1356537260151718</v>
      </c>
      <c r="N334" s="104"/>
    </row>
    <row r="335" spans="1:28" x14ac:dyDescent="0.2">
      <c r="A335" s="20" t="s">
        <v>149</v>
      </c>
      <c r="B335" s="16">
        <v>3</v>
      </c>
      <c r="C335" s="45">
        <f t="shared" ref="C335:M335" si="111">(C8/C$5)*100</f>
        <v>0.10766149223835754</v>
      </c>
      <c r="D335" s="45">
        <f t="shared" si="111"/>
        <v>0.10015022533800699</v>
      </c>
      <c r="E335" s="45">
        <f t="shared" si="111"/>
        <v>9.0180360721442893E-2</v>
      </c>
      <c r="F335" s="45">
        <f t="shared" si="111"/>
        <v>8.5448605177180198E-2</v>
      </c>
      <c r="G335" s="45">
        <f t="shared" si="111"/>
        <v>8.0527086383601759E-2</v>
      </c>
      <c r="H335" s="45">
        <f t="shared" si="111"/>
        <v>7.529754675734758E-2</v>
      </c>
      <c r="I335" s="45">
        <f t="shared" si="111"/>
        <v>6.4087348682648954E-2</v>
      </c>
      <c r="J335" s="45">
        <f t="shared" si="111"/>
        <v>6.0240963855421693E-2</v>
      </c>
      <c r="K335" s="45">
        <f t="shared" si="111"/>
        <v>5.2571428571428575E-2</v>
      </c>
      <c r="L335" s="45">
        <f t="shared" si="111"/>
        <v>5.0262737034498524E-2</v>
      </c>
      <c r="M335" s="45">
        <f t="shared" si="111"/>
        <v>5.1316376617581441E-2</v>
      </c>
      <c r="N335" s="104"/>
    </row>
    <row r="336" spans="1:28" x14ac:dyDescent="0.2">
      <c r="A336" s="20" t="s">
        <v>150</v>
      </c>
      <c r="B336" s="16">
        <v>4</v>
      </c>
      <c r="C336" s="45">
        <f t="shared" ref="C336:M336" si="112">(C9/C$5)*100</f>
        <v>3.1046569854782171</v>
      </c>
      <c r="D336" s="45">
        <f t="shared" si="112"/>
        <v>2.7040560841261891</v>
      </c>
      <c r="E336" s="45">
        <f t="shared" si="112"/>
        <v>3.3567134268537071</v>
      </c>
      <c r="F336" s="45">
        <f t="shared" si="112"/>
        <v>3.6189997486805727</v>
      </c>
      <c r="G336" s="45">
        <f t="shared" si="112"/>
        <v>3.6115178135675938</v>
      </c>
      <c r="H336" s="45">
        <f t="shared" si="112"/>
        <v>3.7405878066553315</v>
      </c>
      <c r="I336" s="45">
        <f t="shared" si="112"/>
        <v>3.9876572513648236</v>
      </c>
      <c r="J336" s="45">
        <f t="shared" si="112"/>
        <v>4.1241890639480996</v>
      </c>
      <c r="K336" s="45">
        <f t="shared" si="112"/>
        <v>4.2057142857142855</v>
      </c>
      <c r="L336" s="45">
        <f t="shared" si="112"/>
        <v>4.0210189627598814</v>
      </c>
      <c r="M336" s="45">
        <f t="shared" si="112"/>
        <v>3.993752788933512</v>
      </c>
      <c r="N336" s="104"/>
    </row>
    <row r="337" spans="1:14" x14ac:dyDescent="0.2">
      <c r="A337" s="20" t="s">
        <v>151</v>
      </c>
      <c r="B337" s="16">
        <v>5</v>
      </c>
      <c r="C337" s="45">
        <f t="shared" ref="C337:M337" si="113">(C10/C$5)*100</f>
        <v>11.517275913870806</v>
      </c>
      <c r="D337" s="45">
        <f t="shared" si="113"/>
        <v>10.215322984476716</v>
      </c>
      <c r="E337" s="45">
        <f t="shared" si="113"/>
        <v>11.54809619238477</v>
      </c>
      <c r="F337" s="45">
        <f t="shared" si="113"/>
        <v>13.068610203568737</v>
      </c>
      <c r="G337" s="45">
        <f t="shared" si="113"/>
        <v>13.347974621766715</v>
      </c>
      <c r="H337" s="45">
        <f t="shared" si="113"/>
        <v>13.019188729657518</v>
      </c>
      <c r="I337" s="45">
        <f t="shared" si="113"/>
        <v>12.841205791597437</v>
      </c>
      <c r="J337" s="45">
        <f t="shared" si="113"/>
        <v>13.090824837812789</v>
      </c>
      <c r="K337" s="45">
        <f t="shared" si="113"/>
        <v>13.348571428571429</v>
      </c>
      <c r="L337" s="45">
        <f t="shared" si="113"/>
        <v>12.702764450536897</v>
      </c>
      <c r="M337" s="45">
        <f t="shared" si="113"/>
        <v>12.82909415439536</v>
      </c>
      <c r="N337" s="104"/>
    </row>
    <row r="338" spans="1:14" x14ac:dyDescent="0.2">
      <c r="A338" s="20" t="s">
        <v>152</v>
      </c>
      <c r="B338" s="16">
        <v>6</v>
      </c>
      <c r="C338" s="45">
        <f t="shared" ref="C338:M338" si="114">(C11/C$5)*100</f>
        <v>6.1342013019529293</v>
      </c>
      <c r="D338" s="45">
        <f t="shared" si="114"/>
        <v>6.6099148723084626</v>
      </c>
      <c r="E338" s="45">
        <f t="shared" si="114"/>
        <v>8.2665330661322649</v>
      </c>
      <c r="F338" s="45">
        <f t="shared" si="114"/>
        <v>8.6202563458155321</v>
      </c>
      <c r="G338" s="45">
        <f t="shared" si="114"/>
        <v>9.468033186920449</v>
      </c>
      <c r="H338" s="45">
        <f t="shared" si="114"/>
        <v>10.881709982997329</v>
      </c>
      <c r="I338" s="45">
        <f t="shared" si="114"/>
        <v>12.437692855447423</v>
      </c>
      <c r="J338" s="45">
        <f t="shared" si="114"/>
        <v>12.974976830398516</v>
      </c>
      <c r="K338" s="45">
        <f t="shared" si="114"/>
        <v>12.297142857142857</v>
      </c>
      <c r="L338" s="45">
        <f t="shared" si="114"/>
        <v>12.99977153301348</v>
      </c>
      <c r="M338" s="45">
        <f t="shared" si="114"/>
        <v>14.859437751004014</v>
      </c>
      <c r="N338" s="104"/>
    </row>
    <row r="339" spans="1:14" x14ac:dyDescent="0.2">
      <c r="A339" s="20" t="s">
        <v>153</v>
      </c>
      <c r="B339" s="16">
        <v>7</v>
      </c>
      <c r="C339" s="45">
        <f t="shared" ref="C339:M339" si="115">(C12/C$5)*100</f>
        <v>4.8823234852278414</v>
      </c>
      <c r="D339" s="45">
        <f t="shared" si="115"/>
        <v>4.757135703555333</v>
      </c>
      <c r="E339" s="45">
        <f t="shared" si="115"/>
        <v>5.0851703406813629</v>
      </c>
      <c r="F339" s="45">
        <f t="shared" si="115"/>
        <v>5.101784367931641</v>
      </c>
      <c r="G339" s="45">
        <f t="shared" si="115"/>
        <v>5.0756466569058079</v>
      </c>
      <c r="H339" s="45">
        <f t="shared" si="115"/>
        <v>5.1008015545299976</v>
      </c>
      <c r="I339" s="45">
        <f t="shared" si="115"/>
        <v>5.0320436743413239</v>
      </c>
      <c r="J339" s="45">
        <f t="shared" si="115"/>
        <v>4.9814643188137167</v>
      </c>
      <c r="K339" s="45">
        <f t="shared" si="115"/>
        <v>4.5714285714285712</v>
      </c>
      <c r="L339" s="45">
        <f t="shared" si="115"/>
        <v>4.3865661411925982</v>
      </c>
      <c r="M339" s="45">
        <f t="shared" si="115"/>
        <v>4.1945560017849175</v>
      </c>
      <c r="N339" s="104"/>
    </row>
    <row r="340" spans="1:14" x14ac:dyDescent="0.2">
      <c r="A340" s="20" t="s">
        <v>154</v>
      </c>
      <c r="B340" s="16">
        <v>8</v>
      </c>
      <c r="C340" s="45">
        <f t="shared" ref="C340:M340" si="116">(C13/C$5)*100</f>
        <v>2.6539809714571856</v>
      </c>
      <c r="D340" s="45">
        <f t="shared" si="116"/>
        <v>2.483725588382574</v>
      </c>
      <c r="E340" s="45">
        <f t="shared" si="116"/>
        <v>2.4949899799599198</v>
      </c>
      <c r="F340" s="45">
        <f t="shared" si="116"/>
        <v>2.3674290022618747</v>
      </c>
      <c r="G340" s="45">
        <f t="shared" si="116"/>
        <v>2.1376281112737918</v>
      </c>
      <c r="H340" s="45">
        <f t="shared" si="116"/>
        <v>2.0281758562059755</v>
      </c>
      <c r="I340" s="45">
        <f t="shared" si="116"/>
        <v>2.0009494422027059</v>
      </c>
      <c r="J340" s="45">
        <f t="shared" si="116"/>
        <v>2.0342910101946243</v>
      </c>
      <c r="K340" s="45">
        <f t="shared" si="116"/>
        <v>2.0617142857142858</v>
      </c>
      <c r="L340" s="45">
        <f t="shared" si="116"/>
        <v>2.0333561800319853</v>
      </c>
      <c r="M340" s="45">
        <f t="shared" si="116"/>
        <v>1.8652387327086122</v>
      </c>
      <c r="N340" s="104"/>
    </row>
    <row r="341" spans="1:14" x14ac:dyDescent="0.2">
      <c r="A341" s="20" t="s">
        <v>155</v>
      </c>
      <c r="B341" s="16">
        <v>9</v>
      </c>
      <c r="C341" s="45">
        <f t="shared" ref="C341:M341" si="117">(C14/C$5)*100</f>
        <v>2.5037556334501754</v>
      </c>
      <c r="D341" s="45">
        <f t="shared" si="117"/>
        <v>2.829243865798698</v>
      </c>
      <c r="E341" s="45">
        <f t="shared" si="117"/>
        <v>2.9308617234468941</v>
      </c>
      <c r="F341" s="45">
        <f t="shared" si="117"/>
        <v>3.3676803216888667</v>
      </c>
      <c r="G341" s="45">
        <f t="shared" si="117"/>
        <v>3.5627135187896535</v>
      </c>
      <c r="H341" s="45">
        <f t="shared" si="117"/>
        <v>3.5948506193830458</v>
      </c>
      <c r="I341" s="45">
        <f t="shared" si="117"/>
        <v>3.6553524804177546</v>
      </c>
      <c r="J341" s="45">
        <f t="shared" si="117"/>
        <v>4.008341056533828</v>
      </c>
      <c r="K341" s="45">
        <f t="shared" si="117"/>
        <v>5.0742857142857147</v>
      </c>
      <c r="L341" s="45">
        <f t="shared" si="117"/>
        <v>5.1633538953621203</v>
      </c>
      <c r="M341" s="45">
        <f t="shared" si="117"/>
        <v>5.1539491298527444</v>
      </c>
      <c r="N341" s="104"/>
    </row>
    <row r="342" spans="1:14" x14ac:dyDescent="0.2">
      <c r="A342" s="20" t="s">
        <v>156</v>
      </c>
      <c r="B342" s="16">
        <v>10</v>
      </c>
      <c r="C342" s="45">
        <f t="shared" ref="C342:M342" si="118">(C15/C$5)*100</f>
        <v>3.3800701051577362</v>
      </c>
      <c r="D342" s="45">
        <f t="shared" si="118"/>
        <v>2.8542814221331998</v>
      </c>
      <c r="E342" s="45">
        <f t="shared" si="118"/>
        <v>3.0811623246492985</v>
      </c>
      <c r="F342" s="45">
        <f t="shared" si="118"/>
        <v>3.5436039205830614</v>
      </c>
      <c r="G342" s="45">
        <f t="shared" si="118"/>
        <v>3.8555392874572965</v>
      </c>
      <c r="H342" s="45">
        <f t="shared" si="118"/>
        <v>3.7648773378673792</v>
      </c>
      <c r="I342" s="45">
        <f t="shared" si="118"/>
        <v>3.6078803702824591</v>
      </c>
      <c r="J342" s="45">
        <f t="shared" si="118"/>
        <v>3.5217794253938832</v>
      </c>
      <c r="K342" s="45">
        <f t="shared" si="118"/>
        <v>3.6114285714285717</v>
      </c>
      <c r="L342" s="45">
        <f t="shared" si="118"/>
        <v>3.3333333333333335</v>
      </c>
      <c r="M342" s="45">
        <f t="shared" si="118"/>
        <v>3.2954038375725121</v>
      </c>
      <c r="N342" s="104"/>
    </row>
    <row r="343" spans="1:14" x14ac:dyDescent="0.2">
      <c r="N343" s="105"/>
    </row>
    <row r="344" spans="1:14" x14ac:dyDescent="0.2">
      <c r="A344" s="6" t="s">
        <v>161</v>
      </c>
    </row>
    <row r="346" spans="1:14" ht="15.75" x14ac:dyDescent="0.25">
      <c r="A346" s="9" t="s">
        <v>163</v>
      </c>
    </row>
    <row r="348" spans="1:14" x14ac:dyDescent="0.2">
      <c r="A348" s="95" t="s">
        <v>146</v>
      </c>
      <c r="B348" s="96"/>
      <c r="C348" s="21">
        <v>2008</v>
      </c>
      <c r="D348" s="21">
        <v>2009</v>
      </c>
      <c r="E348" s="21">
        <v>2010</v>
      </c>
      <c r="F348" s="21">
        <v>2011</v>
      </c>
      <c r="G348" s="21">
        <v>2012</v>
      </c>
      <c r="H348" s="21">
        <v>2013</v>
      </c>
      <c r="I348" s="21">
        <v>2014</v>
      </c>
      <c r="J348" s="21">
        <v>2015</v>
      </c>
      <c r="K348" s="21">
        <v>2016</v>
      </c>
      <c r="L348" s="21">
        <v>2017</v>
      </c>
      <c r="M348" s="21">
        <v>2018</v>
      </c>
      <c r="N348" s="21">
        <v>2019</v>
      </c>
    </row>
    <row r="349" spans="1:14" x14ac:dyDescent="0.2">
      <c r="A349" s="16" t="s">
        <v>13</v>
      </c>
      <c r="B349" s="16" t="s">
        <v>14</v>
      </c>
      <c r="C349" s="16">
        <v>1</v>
      </c>
      <c r="D349" s="16">
        <v>2</v>
      </c>
      <c r="E349" s="16">
        <v>3</v>
      </c>
      <c r="F349" s="16">
        <v>4</v>
      </c>
      <c r="G349" s="16">
        <v>5</v>
      </c>
      <c r="H349" s="16">
        <v>6</v>
      </c>
      <c r="I349" s="16">
        <v>7</v>
      </c>
      <c r="J349" s="16">
        <v>8</v>
      </c>
      <c r="K349" s="16">
        <v>9</v>
      </c>
      <c r="L349" s="16">
        <v>10</v>
      </c>
      <c r="M349" s="16">
        <v>11</v>
      </c>
      <c r="N349" s="16">
        <v>12</v>
      </c>
    </row>
    <row r="350" spans="1:14" x14ac:dyDescent="0.2">
      <c r="A350" s="20" t="s">
        <v>148</v>
      </c>
      <c r="B350" s="16">
        <v>1</v>
      </c>
      <c r="C350" s="45">
        <f t="shared" ref="C350:M350" si="119">(C7/C$6)*100</f>
        <v>13.422131147540984</v>
      </c>
      <c r="D350" s="45">
        <f t="shared" si="119"/>
        <v>12.712550607287449</v>
      </c>
      <c r="E350" s="45">
        <f t="shared" si="119"/>
        <v>12.450592885375494</v>
      </c>
      <c r="F350" s="45">
        <f t="shared" si="119"/>
        <v>10.15625</v>
      </c>
      <c r="G350" s="45">
        <f t="shared" si="119"/>
        <v>8.5934489402697505</v>
      </c>
      <c r="H350" s="45">
        <f t="shared" si="119"/>
        <v>7.7969348659003828</v>
      </c>
      <c r="I350" s="45">
        <f t="shared" si="119"/>
        <v>7.6045627376425857</v>
      </c>
      <c r="J350" s="45">
        <f t="shared" si="119"/>
        <v>8.4672897196261676</v>
      </c>
      <c r="K350" s="45">
        <f t="shared" si="119"/>
        <v>8.6496350364963508</v>
      </c>
      <c r="L350" s="45">
        <f t="shared" si="119"/>
        <v>8.5009140767824487</v>
      </c>
      <c r="M350" s="45">
        <f t="shared" si="119"/>
        <v>9.1546762589928061</v>
      </c>
      <c r="N350" s="103" t="s">
        <v>6</v>
      </c>
    </row>
    <row r="351" spans="1:14" x14ac:dyDescent="0.2">
      <c r="A351" s="20" t="s">
        <v>149</v>
      </c>
      <c r="B351" s="16">
        <v>2</v>
      </c>
      <c r="C351" s="45">
        <f t="shared" ref="C351:M351" si="120">(C8/C$6)*100</f>
        <v>0.88114754098360648</v>
      </c>
      <c r="D351" s="45">
        <f t="shared" si="120"/>
        <v>0.80971659919028338</v>
      </c>
      <c r="E351" s="45">
        <f t="shared" si="120"/>
        <v>0.71146245059288549</v>
      </c>
      <c r="F351" s="45">
        <f t="shared" si="120"/>
        <v>0.6640625</v>
      </c>
      <c r="G351" s="45">
        <f t="shared" si="120"/>
        <v>0.63583815028901725</v>
      </c>
      <c r="H351" s="45">
        <f t="shared" si="120"/>
        <v>0.5938697318007663</v>
      </c>
      <c r="I351" s="45">
        <f t="shared" si="120"/>
        <v>0.51330798479087458</v>
      </c>
      <c r="J351" s="45">
        <f t="shared" si="120"/>
        <v>0.48598130841121495</v>
      </c>
      <c r="K351" s="45">
        <f t="shared" si="120"/>
        <v>0.41970802919708022</v>
      </c>
      <c r="L351" s="45">
        <f t="shared" si="120"/>
        <v>0.40219378427787933</v>
      </c>
      <c r="M351" s="45">
        <f t="shared" si="120"/>
        <v>0.41366906474820142</v>
      </c>
      <c r="N351" s="104"/>
    </row>
    <row r="352" spans="1:14" x14ac:dyDescent="0.2">
      <c r="A352" s="20" t="s">
        <v>150</v>
      </c>
      <c r="B352" s="16">
        <v>3</v>
      </c>
      <c r="C352" s="45">
        <f t="shared" ref="C352:M352" si="121">(C9/C$6)*100</f>
        <v>25.409836065573771</v>
      </c>
      <c r="D352" s="45">
        <f t="shared" si="121"/>
        <v>21.862348178137651</v>
      </c>
      <c r="E352" s="45">
        <f t="shared" si="121"/>
        <v>26.48221343873518</v>
      </c>
      <c r="F352" s="45">
        <f t="shared" si="121"/>
        <v>28.125</v>
      </c>
      <c r="G352" s="45">
        <f t="shared" si="121"/>
        <v>28.516377649325626</v>
      </c>
      <c r="H352" s="45">
        <f t="shared" si="121"/>
        <v>29.501915708812259</v>
      </c>
      <c r="I352" s="45">
        <f t="shared" si="121"/>
        <v>31.939163498098861</v>
      </c>
      <c r="J352" s="45">
        <f t="shared" si="121"/>
        <v>33.271028037383175</v>
      </c>
      <c r="K352" s="45">
        <f t="shared" si="121"/>
        <v>33.576642335766422</v>
      </c>
      <c r="L352" s="45">
        <f t="shared" si="121"/>
        <v>32.17550274223035</v>
      </c>
      <c r="M352" s="45">
        <f t="shared" si="121"/>
        <v>32.194244604316545</v>
      </c>
      <c r="N352" s="104"/>
    </row>
    <row r="353" spans="1:14" x14ac:dyDescent="0.2">
      <c r="A353" s="20" t="s">
        <v>151</v>
      </c>
      <c r="B353" s="16">
        <v>4</v>
      </c>
      <c r="C353" s="45">
        <f t="shared" ref="C353:M353" si="122">(C10/C$6)*100</f>
        <v>94.262295081967224</v>
      </c>
      <c r="D353" s="45">
        <f t="shared" si="122"/>
        <v>82.591093117408903</v>
      </c>
      <c r="E353" s="45">
        <f t="shared" si="122"/>
        <v>91.106719367588923</v>
      </c>
      <c r="F353" s="45">
        <f t="shared" si="122"/>
        <v>101.5625</v>
      </c>
      <c r="G353" s="45">
        <f t="shared" si="122"/>
        <v>105.39499036608863</v>
      </c>
      <c r="H353" s="45">
        <f t="shared" si="122"/>
        <v>102.68199233716476</v>
      </c>
      <c r="I353" s="45">
        <f t="shared" si="122"/>
        <v>102.85171102661596</v>
      </c>
      <c r="J353" s="45">
        <f t="shared" si="122"/>
        <v>105.60747663551402</v>
      </c>
      <c r="K353" s="45">
        <f t="shared" si="122"/>
        <v>106.56934306569343</v>
      </c>
      <c r="L353" s="45">
        <f t="shared" si="122"/>
        <v>101.64533820840951</v>
      </c>
      <c r="M353" s="45">
        <f t="shared" si="122"/>
        <v>103.41726618705036</v>
      </c>
      <c r="N353" s="104"/>
    </row>
    <row r="354" spans="1:14" x14ac:dyDescent="0.2">
      <c r="A354" s="20" t="s">
        <v>152</v>
      </c>
      <c r="B354" s="16">
        <v>5</v>
      </c>
      <c r="C354" s="45">
        <f t="shared" ref="C354:M354" si="123">(C11/C$6)*100</f>
        <v>50.204918032786885</v>
      </c>
      <c r="D354" s="45">
        <f t="shared" si="123"/>
        <v>53.441295546558706</v>
      </c>
      <c r="E354" s="45">
        <f t="shared" si="123"/>
        <v>65.217391304347828</v>
      </c>
      <c r="F354" s="45">
        <f t="shared" si="123"/>
        <v>66.9921875</v>
      </c>
      <c r="G354" s="45">
        <f t="shared" si="123"/>
        <v>74.759152215799617</v>
      </c>
      <c r="H354" s="45">
        <f t="shared" si="123"/>
        <v>85.82375478927203</v>
      </c>
      <c r="I354" s="45">
        <f t="shared" si="123"/>
        <v>99.619771863117862</v>
      </c>
      <c r="J354" s="45">
        <f t="shared" si="123"/>
        <v>104.67289719626167</v>
      </c>
      <c r="K354" s="45">
        <f t="shared" si="123"/>
        <v>98.175182481751818</v>
      </c>
      <c r="L354" s="45">
        <f t="shared" si="123"/>
        <v>104.0219378427788</v>
      </c>
      <c r="M354" s="45">
        <f t="shared" si="123"/>
        <v>119.78417266187051</v>
      </c>
      <c r="N354" s="104"/>
    </row>
    <row r="355" spans="1:14" x14ac:dyDescent="0.2">
      <c r="A355" s="20" t="s">
        <v>153</v>
      </c>
      <c r="B355" s="16">
        <v>6</v>
      </c>
      <c r="C355" s="45">
        <f t="shared" ref="C355:M355" si="124">(C12/C$6)*100</f>
        <v>39.959016393442624</v>
      </c>
      <c r="D355" s="45">
        <f t="shared" si="124"/>
        <v>38.461538461538467</v>
      </c>
      <c r="E355" s="45">
        <f t="shared" si="124"/>
        <v>40.118577075098813</v>
      </c>
      <c r="F355" s="45">
        <f t="shared" si="124"/>
        <v>39.6484375</v>
      </c>
      <c r="G355" s="45">
        <f t="shared" si="124"/>
        <v>40.077071290944119</v>
      </c>
      <c r="H355" s="45">
        <f t="shared" si="124"/>
        <v>40.229885057471265</v>
      </c>
      <c r="I355" s="45">
        <f t="shared" si="124"/>
        <v>40.304182509505701</v>
      </c>
      <c r="J355" s="45">
        <f t="shared" si="124"/>
        <v>40.186915887850468</v>
      </c>
      <c r="K355" s="45">
        <f t="shared" si="124"/>
        <v>36.496350364963504</v>
      </c>
      <c r="L355" s="45">
        <f t="shared" si="124"/>
        <v>35.100548446069467</v>
      </c>
      <c r="M355" s="45">
        <f t="shared" si="124"/>
        <v>33.812949640287769</v>
      </c>
      <c r="N355" s="104"/>
    </row>
    <row r="356" spans="1:14" x14ac:dyDescent="0.2">
      <c r="A356" s="20" t="s">
        <v>154</v>
      </c>
      <c r="B356" s="16">
        <v>7</v>
      </c>
      <c r="C356" s="45">
        <f t="shared" ref="C356:M356" si="125">(C13/C$6)*100</f>
        <v>21.721311475409834</v>
      </c>
      <c r="D356" s="45">
        <f t="shared" si="125"/>
        <v>20.08097165991903</v>
      </c>
      <c r="E356" s="45">
        <f t="shared" si="125"/>
        <v>19.683794466403164</v>
      </c>
      <c r="F356" s="45">
        <f t="shared" si="125"/>
        <v>18.3984375</v>
      </c>
      <c r="G356" s="45">
        <f t="shared" si="125"/>
        <v>16.878612716763005</v>
      </c>
      <c r="H356" s="45">
        <f t="shared" si="125"/>
        <v>15.996168582375478</v>
      </c>
      <c r="I356" s="45">
        <f t="shared" si="125"/>
        <v>16.026615969581748</v>
      </c>
      <c r="J356" s="45">
        <f t="shared" si="125"/>
        <v>16.411214953271028</v>
      </c>
      <c r="K356" s="45">
        <f t="shared" si="125"/>
        <v>16.459854014598541</v>
      </c>
      <c r="L356" s="45">
        <f t="shared" si="125"/>
        <v>16.270566727605118</v>
      </c>
      <c r="M356" s="45">
        <f t="shared" si="125"/>
        <v>15.035971223021583</v>
      </c>
      <c r="N356" s="104"/>
    </row>
    <row r="357" spans="1:14" x14ac:dyDescent="0.2">
      <c r="A357" s="20" t="s">
        <v>155</v>
      </c>
      <c r="B357" s="16">
        <v>8</v>
      </c>
      <c r="C357" s="45">
        <f t="shared" ref="C357:M357" si="126">(C14/C$6)*100</f>
        <v>20.491803278688526</v>
      </c>
      <c r="D357" s="45">
        <f t="shared" si="126"/>
        <v>22.874493927125506</v>
      </c>
      <c r="E357" s="45">
        <f t="shared" si="126"/>
        <v>23.122529644268774</v>
      </c>
      <c r="F357" s="45">
        <f t="shared" si="126"/>
        <v>26.171875</v>
      </c>
      <c r="G357" s="45">
        <f t="shared" si="126"/>
        <v>28.131021194605012</v>
      </c>
      <c r="H357" s="45">
        <f t="shared" si="126"/>
        <v>28.35249042145594</v>
      </c>
      <c r="I357" s="45">
        <f t="shared" si="126"/>
        <v>29.277566539923956</v>
      </c>
      <c r="J357" s="45">
        <f t="shared" si="126"/>
        <v>32.336448598130843</v>
      </c>
      <c r="K357" s="45">
        <f t="shared" si="126"/>
        <v>40.510948905109487</v>
      </c>
      <c r="L357" s="45">
        <f t="shared" si="126"/>
        <v>41.316270566727603</v>
      </c>
      <c r="M357" s="45">
        <f t="shared" si="126"/>
        <v>41.546762589928058</v>
      </c>
      <c r="N357" s="104"/>
    </row>
    <row r="358" spans="1:14" x14ac:dyDescent="0.2">
      <c r="A358" s="20" t="s">
        <v>156</v>
      </c>
      <c r="B358" s="16">
        <v>9</v>
      </c>
      <c r="C358" s="45">
        <f t="shared" ref="C358:M358" si="127">(C15/C$6)*100</f>
        <v>27.66393442622951</v>
      </c>
      <c r="D358" s="45">
        <f t="shared" si="127"/>
        <v>23.076923076923077</v>
      </c>
      <c r="E358" s="45">
        <f t="shared" si="127"/>
        <v>24.308300395256918</v>
      </c>
      <c r="F358" s="45">
        <f t="shared" si="127"/>
        <v>27.5390625</v>
      </c>
      <c r="G358" s="45">
        <f t="shared" si="127"/>
        <v>30.443159922928707</v>
      </c>
      <c r="H358" s="45">
        <f t="shared" si="127"/>
        <v>29.693486590038315</v>
      </c>
      <c r="I358" s="45">
        <f t="shared" si="127"/>
        <v>28.897338403041822</v>
      </c>
      <c r="J358" s="45">
        <f t="shared" si="127"/>
        <v>28.411214953271031</v>
      </c>
      <c r="K358" s="45">
        <f t="shared" si="127"/>
        <v>28.832116788321166</v>
      </c>
      <c r="L358" s="45">
        <f t="shared" si="127"/>
        <v>26.672760511882998</v>
      </c>
      <c r="M358" s="45">
        <f t="shared" si="127"/>
        <v>26.564748201438849</v>
      </c>
      <c r="N358" s="104"/>
    </row>
    <row r="359" spans="1:14" x14ac:dyDescent="0.2">
      <c r="N359" s="104"/>
    </row>
    <row r="360" spans="1:14" x14ac:dyDescent="0.2">
      <c r="A360" s="6" t="s">
        <v>161</v>
      </c>
      <c r="N360" s="105"/>
    </row>
    <row r="362" spans="1:14" ht="15.75" x14ac:dyDescent="0.25">
      <c r="A362" s="9" t="s">
        <v>32</v>
      </c>
    </row>
    <row r="364" spans="1:14" x14ac:dyDescent="0.2">
      <c r="A364" s="95" t="s">
        <v>146</v>
      </c>
      <c r="B364" s="96"/>
      <c r="C364" s="21">
        <v>2008</v>
      </c>
      <c r="D364" s="21">
        <v>2009</v>
      </c>
      <c r="E364" s="21">
        <v>2010</v>
      </c>
      <c r="F364" s="21">
        <v>2011</v>
      </c>
      <c r="G364" s="21">
        <v>2012</v>
      </c>
      <c r="H364" s="21">
        <v>2013</v>
      </c>
      <c r="I364" s="21">
        <v>2014</v>
      </c>
      <c r="J364" s="21">
        <v>2015</v>
      </c>
      <c r="K364" s="21">
        <v>2016</v>
      </c>
      <c r="L364" s="21">
        <v>2017</v>
      </c>
      <c r="M364" s="21">
        <v>2018</v>
      </c>
      <c r="N364" s="21">
        <v>2019</v>
      </c>
    </row>
    <row r="365" spans="1:14" x14ac:dyDescent="0.2">
      <c r="A365" s="16" t="s">
        <v>13</v>
      </c>
      <c r="B365" s="16" t="s">
        <v>14</v>
      </c>
      <c r="C365" s="16">
        <v>1</v>
      </c>
      <c r="D365" s="16">
        <v>2</v>
      </c>
      <c r="E365" s="16">
        <v>3</v>
      </c>
      <c r="F365" s="16">
        <v>4</v>
      </c>
      <c r="G365" s="16">
        <v>5</v>
      </c>
      <c r="H365" s="16">
        <v>6</v>
      </c>
      <c r="I365" s="16">
        <v>7</v>
      </c>
      <c r="J365" s="16">
        <v>8</v>
      </c>
      <c r="K365" s="16">
        <v>9</v>
      </c>
      <c r="L365" s="16">
        <v>10</v>
      </c>
      <c r="M365" s="16">
        <v>11</v>
      </c>
      <c r="N365" s="16">
        <v>12</v>
      </c>
    </row>
    <row r="366" spans="1:14" x14ac:dyDescent="0.2">
      <c r="A366" s="55" t="s">
        <v>157</v>
      </c>
      <c r="B366" s="16">
        <v>1</v>
      </c>
      <c r="C366" s="45">
        <f t="shared" ref="C366:M366" si="128">(C5/$E5)*100</f>
        <v>100.05010020040079</v>
      </c>
      <c r="D366" s="45">
        <f t="shared" si="128"/>
        <v>100.05010020040079</v>
      </c>
      <c r="E366" s="45">
        <f t="shared" si="128"/>
        <v>100</v>
      </c>
      <c r="F366" s="45">
        <f t="shared" si="128"/>
        <v>99.674348697394791</v>
      </c>
      <c r="G366" s="45">
        <f t="shared" si="128"/>
        <v>102.65531062124249</v>
      </c>
      <c r="H366" s="45">
        <f t="shared" si="128"/>
        <v>103.13126252505009</v>
      </c>
      <c r="I366" s="45">
        <f t="shared" si="128"/>
        <v>105.53607214428857</v>
      </c>
      <c r="J366" s="45">
        <f t="shared" si="128"/>
        <v>108.11623246492985</v>
      </c>
      <c r="K366" s="45">
        <f t="shared" si="128"/>
        <v>109.59418837675349</v>
      </c>
      <c r="L366" s="45">
        <f t="shared" si="128"/>
        <v>109.64428857715431</v>
      </c>
      <c r="M366" s="45">
        <f t="shared" si="128"/>
        <v>112.27454909819639</v>
      </c>
      <c r="N366" s="103" t="s">
        <v>6</v>
      </c>
    </row>
    <row r="367" spans="1:14" x14ac:dyDescent="0.2">
      <c r="A367" s="20" t="s">
        <v>147</v>
      </c>
      <c r="B367" s="16">
        <v>2</v>
      </c>
      <c r="C367" s="45">
        <f t="shared" ref="C367:M367" si="129">(C6/$E6)*100</f>
        <v>96.442687747035578</v>
      </c>
      <c r="D367" s="45">
        <f t="shared" si="129"/>
        <v>97.628458498023718</v>
      </c>
      <c r="E367" s="45">
        <f t="shared" si="129"/>
        <v>100</v>
      </c>
      <c r="F367" s="45">
        <f t="shared" si="129"/>
        <v>101.18577075098814</v>
      </c>
      <c r="G367" s="45">
        <f t="shared" si="129"/>
        <v>102.56916996047431</v>
      </c>
      <c r="H367" s="45">
        <f t="shared" si="129"/>
        <v>103.16205533596839</v>
      </c>
      <c r="I367" s="45">
        <f t="shared" si="129"/>
        <v>103.95256916996047</v>
      </c>
      <c r="J367" s="45">
        <f t="shared" si="129"/>
        <v>105.73122529644267</v>
      </c>
      <c r="K367" s="45">
        <f t="shared" si="129"/>
        <v>108.300395256917</v>
      </c>
      <c r="L367" s="45">
        <f t="shared" si="129"/>
        <v>108.10276679841897</v>
      </c>
      <c r="M367" s="45">
        <f t="shared" si="129"/>
        <v>109.8814229249012</v>
      </c>
      <c r="N367" s="104"/>
    </row>
    <row r="368" spans="1:14" x14ac:dyDescent="0.2">
      <c r="A368" s="20" t="s">
        <v>148</v>
      </c>
      <c r="B368" s="16">
        <v>3</v>
      </c>
      <c r="C368" s="45">
        <f t="shared" ref="C368:M368" si="130">(C7/$E7)*100</f>
        <v>103.96825396825398</v>
      </c>
      <c r="D368" s="45">
        <f t="shared" si="130"/>
        <v>99.682539682539669</v>
      </c>
      <c r="E368" s="45">
        <f t="shared" si="130"/>
        <v>100</v>
      </c>
      <c r="F368" s="45">
        <f t="shared" si="130"/>
        <v>82.539682539682531</v>
      </c>
      <c r="G368" s="45">
        <f t="shared" si="130"/>
        <v>70.793650793650798</v>
      </c>
      <c r="H368" s="45">
        <f t="shared" si="130"/>
        <v>64.603174603174608</v>
      </c>
      <c r="I368" s="45">
        <f t="shared" si="130"/>
        <v>63.492063492063487</v>
      </c>
      <c r="J368" s="45">
        <f t="shared" si="130"/>
        <v>71.904761904761898</v>
      </c>
      <c r="K368" s="45">
        <f t="shared" si="130"/>
        <v>75.238095238095241</v>
      </c>
      <c r="L368" s="45">
        <f t="shared" si="130"/>
        <v>73.80952380952381</v>
      </c>
      <c r="M368" s="45">
        <f t="shared" si="130"/>
        <v>80.793650793650798</v>
      </c>
      <c r="N368" s="104"/>
    </row>
    <row r="369" spans="1:14" x14ac:dyDescent="0.2">
      <c r="A369" s="20" t="s">
        <v>149</v>
      </c>
      <c r="B369" s="16">
        <v>4</v>
      </c>
      <c r="C369" s="45">
        <f t="shared" ref="C369:M369" si="131">(C8/$E8)*100</f>
        <v>119.44444444444444</v>
      </c>
      <c r="D369" s="45">
        <f t="shared" si="131"/>
        <v>111.11111111111111</v>
      </c>
      <c r="E369" s="45">
        <f t="shared" si="131"/>
        <v>100</v>
      </c>
      <c r="F369" s="45">
        <f t="shared" si="131"/>
        <v>94.444444444444443</v>
      </c>
      <c r="G369" s="45">
        <f t="shared" si="131"/>
        <v>91.666666666666657</v>
      </c>
      <c r="H369" s="45">
        <f t="shared" si="131"/>
        <v>86.111111111111114</v>
      </c>
      <c r="I369" s="45">
        <f t="shared" si="131"/>
        <v>75</v>
      </c>
      <c r="J369" s="45">
        <f t="shared" si="131"/>
        <v>72.222222222222214</v>
      </c>
      <c r="K369" s="45">
        <f t="shared" si="131"/>
        <v>63.888888888888886</v>
      </c>
      <c r="L369" s="45">
        <f t="shared" si="131"/>
        <v>61.111111111111114</v>
      </c>
      <c r="M369" s="45">
        <f t="shared" si="131"/>
        <v>63.888888888888886</v>
      </c>
      <c r="N369" s="104"/>
    </row>
    <row r="370" spans="1:14" x14ac:dyDescent="0.2">
      <c r="A370" s="20" t="s">
        <v>150</v>
      </c>
      <c r="B370" s="16">
        <v>5</v>
      </c>
      <c r="C370" s="45">
        <f t="shared" ref="C370:M370" si="132">(C9/$E9)*100</f>
        <v>92.537313432835816</v>
      </c>
      <c r="D370" s="45">
        <f t="shared" si="132"/>
        <v>80.597014925373131</v>
      </c>
      <c r="E370" s="45">
        <f t="shared" si="132"/>
        <v>100</v>
      </c>
      <c r="F370" s="45">
        <f t="shared" si="132"/>
        <v>107.46268656716418</v>
      </c>
      <c r="G370" s="45">
        <f t="shared" si="132"/>
        <v>110.44776119402985</v>
      </c>
      <c r="H370" s="45">
        <f t="shared" si="132"/>
        <v>114.92537313432835</v>
      </c>
      <c r="I370" s="45">
        <f t="shared" si="132"/>
        <v>125.37313432835822</v>
      </c>
      <c r="J370" s="45">
        <f t="shared" si="132"/>
        <v>132.8358208955224</v>
      </c>
      <c r="K370" s="45">
        <f t="shared" si="132"/>
        <v>137.31343283582089</v>
      </c>
      <c r="L370" s="45">
        <f t="shared" si="132"/>
        <v>131.34328358208955</v>
      </c>
      <c r="M370" s="45">
        <f t="shared" si="132"/>
        <v>133.58208955223881</v>
      </c>
      <c r="N370" s="104"/>
    </row>
    <row r="371" spans="1:14" x14ac:dyDescent="0.2">
      <c r="A371" s="20" t="s">
        <v>151</v>
      </c>
      <c r="B371" s="16">
        <v>6</v>
      </c>
      <c r="C371" s="45">
        <f t="shared" ref="C371:M371" si="133">(C10/$E10)*100</f>
        <v>99.783080260303691</v>
      </c>
      <c r="D371" s="45">
        <f t="shared" si="133"/>
        <v>88.50325379609545</v>
      </c>
      <c r="E371" s="45">
        <f t="shared" si="133"/>
        <v>100</v>
      </c>
      <c r="F371" s="45">
        <f t="shared" si="133"/>
        <v>112.79826464208243</v>
      </c>
      <c r="G371" s="45">
        <f t="shared" si="133"/>
        <v>118.65509761388286</v>
      </c>
      <c r="H371" s="45">
        <f t="shared" si="133"/>
        <v>116.26898047722342</v>
      </c>
      <c r="I371" s="45">
        <f t="shared" si="133"/>
        <v>117.35357917570499</v>
      </c>
      <c r="J371" s="45">
        <f t="shared" si="133"/>
        <v>122.55965292841648</v>
      </c>
      <c r="K371" s="45">
        <f t="shared" si="133"/>
        <v>126.68112798264642</v>
      </c>
      <c r="L371" s="45">
        <f t="shared" si="133"/>
        <v>120.60737527114966</v>
      </c>
      <c r="M371" s="45">
        <f t="shared" si="133"/>
        <v>124.72885032537961</v>
      </c>
      <c r="N371" s="104"/>
    </row>
    <row r="372" spans="1:14" x14ac:dyDescent="0.2">
      <c r="A372" s="20" t="s">
        <v>152</v>
      </c>
      <c r="B372" s="16">
        <v>7</v>
      </c>
      <c r="C372" s="45">
        <f t="shared" ref="C372:M372" si="134">(C11/$E11)*100</f>
        <v>74.242424242424249</v>
      </c>
      <c r="D372" s="45">
        <f t="shared" si="134"/>
        <v>80</v>
      </c>
      <c r="E372" s="45">
        <f t="shared" si="134"/>
        <v>100</v>
      </c>
      <c r="F372" s="45">
        <f t="shared" si="134"/>
        <v>103.93939393939394</v>
      </c>
      <c r="G372" s="45">
        <f t="shared" si="134"/>
        <v>117.57575757575758</v>
      </c>
      <c r="H372" s="45">
        <f t="shared" si="134"/>
        <v>135.75757575757578</v>
      </c>
      <c r="I372" s="45">
        <f t="shared" si="134"/>
        <v>158.78787878787878</v>
      </c>
      <c r="J372" s="45">
        <f t="shared" si="134"/>
        <v>169.69696969696969</v>
      </c>
      <c r="K372" s="45">
        <f t="shared" si="134"/>
        <v>163.03030303030303</v>
      </c>
      <c r="L372" s="45">
        <f t="shared" si="134"/>
        <v>172.42424242424241</v>
      </c>
      <c r="M372" s="45">
        <f t="shared" si="134"/>
        <v>201.81818181818181</v>
      </c>
      <c r="N372" s="104"/>
    </row>
    <row r="373" spans="1:14" x14ac:dyDescent="0.2">
      <c r="A373" s="20" t="s">
        <v>153</v>
      </c>
      <c r="B373" s="16">
        <v>8</v>
      </c>
      <c r="C373" s="45">
        <f t="shared" ref="C373:M373" si="135">(C12/$E12)*100</f>
        <v>96.059113300492612</v>
      </c>
      <c r="D373" s="45">
        <f t="shared" si="135"/>
        <v>93.596059113300484</v>
      </c>
      <c r="E373" s="45">
        <f t="shared" si="135"/>
        <v>100</v>
      </c>
      <c r="F373" s="45">
        <f t="shared" si="135"/>
        <v>100</v>
      </c>
      <c r="G373" s="45">
        <f t="shared" si="135"/>
        <v>102.46305418719213</v>
      </c>
      <c r="H373" s="45">
        <f t="shared" si="135"/>
        <v>103.44827586206897</v>
      </c>
      <c r="I373" s="45">
        <f t="shared" si="135"/>
        <v>104.43349753694582</v>
      </c>
      <c r="J373" s="45">
        <f t="shared" si="135"/>
        <v>105.91133004926108</v>
      </c>
      <c r="K373" s="45">
        <f t="shared" si="135"/>
        <v>98.522167487684726</v>
      </c>
      <c r="L373" s="45">
        <f t="shared" si="135"/>
        <v>94.581280788177338</v>
      </c>
      <c r="M373" s="45">
        <f t="shared" si="135"/>
        <v>92.610837438423644</v>
      </c>
      <c r="N373" s="104"/>
    </row>
    <row r="374" spans="1:14" x14ac:dyDescent="0.2">
      <c r="A374" s="20" t="s">
        <v>154</v>
      </c>
      <c r="B374" s="16">
        <v>9</v>
      </c>
      <c r="C374" s="45">
        <f t="shared" ref="C374:M374" si="136">(C13/$E13)*100</f>
        <v>106.42570281124499</v>
      </c>
      <c r="D374" s="45">
        <f t="shared" si="136"/>
        <v>99.598393574297191</v>
      </c>
      <c r="E374" s="45">
        <f t="shared" si="136"/>
        <v>100</v>
      </c>
      <c r="F374" s="45">
        <f t="shared" si="136"/>
        <v>94.578313253012055</v>
      </c>
      <c r="G374" s="45">
        <f t="shared" si="136"/>
        <v>87.951807228915655</v>
      </c>
      <c r="H374" s="45">
        <f t="shared" si="136"/>
        <v>83.835341365461858</v>
      </c>
      <c r="I374" s="45">
        <f t="shared" si="136"/>
        <v>84.638554216867462</v>
      </c>
      <c r="J374" s="45">
        <f t="shared" si="136"/>
        <v>88.152610441767067</v>
      </c>
      <c r="K374" s="45">
        <f t="shared" si="136"/>
        <v>90.562248995983936</v>
      </c>
      <c r="L374" s="45">
        <f t="shared" si="136"/>
        <v>89.357429718875508</v>
      </c>
      <c r="M374" s="45">
        <f t="shared" si="136"/>
        <v>83.935742971887549</v>
      </c>
      <c r="N374" s="104"/>
    </row>
    <row r="375" spans="1:14" x14ac:dyDescent="0.2">
      <c r="A375" s="20" t="s">
        <v>155</v>
      </c>
      <c r="B375" s="16">
        <v>10</v>
      </c>
      <c r="C375" s="45">
        <f t="shared" ref="C375:M375" si="137">(C14/$E14)*100</f>
        <v>85.470085470085465</v>
      </c>
      <c r="D375" s="45">
        <f t="shared" si="137"/>
        <v>96.581196581196579</v>
      </c>
      <c r="E375" s="45">
        <f t="shared" si="137"/>
        <v>100</v>
      </c>
      <c r="F375" s="45">
        <f t="shared" si="137"/>
        <v>114.52991452991452</v>
      </c>
      <c r="G375" s="45">
        <f t="shared" si="137"/>
        <v>124.78632478632478</v>
      </c>
      <c r="H375" s="45">
        <f t="shared" si="137"/>
        <v>126.49572649572649</v>
      </c>
      <c r="I375" s="45">
        <f t="shared" si="137"/>
        <v>131.62393162393161</v>
      </c>
      <c r="J375" s="45">
        <f t="shared" si="137"/>
        <v>147.86324786324786</v>
      </c>
      <c r="K375" s="45">
        <f t="shared" si="137"/>
        <v>189.74358974358972</v>
      </c>
      <c r="L375" s="45">
        <f t="shared" si="137"/>
        <v>193.16239316239316</v>
      </c>
      <c r="M375" s="45">
        <f t="shared" si="137"/>
        <v>197.43589743589746</v>
      </c>
      <c r="N375" s="104"/>
    </row>
    <row r="376" spans="1:14" x14ac:dyDescent="0.2">
      <c r="A376" s="20" t="s">
        <v>156</v>
      </c>
      <c r="B376" s="16">
        <v>11</v>
      </c>
      <c r="C376" s="45">
        <f t="shared" ref="C376:M376" si="138">(C15/$E15)*100</f>
        <v>109.75609756097562</v>
      </c>
      <c r="D376" s="45">
        <f t="shared" si="138"/>
        <v>92.682926829268297</v>
      </c>
      <c r="E376" s="45">
        <f t="shared" si="138"/>
        <v>100</v>
      </c>
      <c r="F376" s="45">
        <f t="shared" si="138"/>
        <v>114.63414634146341</v>
      </c>
      <c r="G376" s="45">
        <f t="shared" si="138"/>
        <v>128.45528455284554</v>
      </c>
      <c r="H376" s="45">
        <f t="shared" si="138"/>
        <v>126.01626016260164</v>
      </c>
      <c r="I376" s="45">
        <f t="shared" si="138"/>
        <v>123.57723577235772</v>
      </c>
      <c r="J376" s="45">
        <f t="shared" si="138"/>
        <v>123.57723577235772</v>
      </c>
      <c r="K376" s="45">
        <f t="shared" si="138"/>
        <v>128.45528455284554</v>
      </c>
      <c r="L376" s="45">
        <f t="shared" si="138"/>
        <v>118.6178861788618</v>
      </c>
      <c r="M376" s="45">
        <f t="shared" si="138"/>
        <v>120.08130081300811</v>
      </c>
      <c r="N376" s="105"/>
    </row>
    <row r="378" spans="1:14" x14ac:dyDescent="0.2">
      <c r="A378" s="6" t="s">
        <v>161</v>
      </c>
    </row>
  </sheetData>
  <mergeCells count="27">
    <mergeCell ref="N366:N376"/>
    <mergeCell ref="A22:B22"/>
    <mergeCell ref="A43:B43"/>
    <mergeCell ref="A64:B64"/>
    <mergeCell ref="A85:B85"/>
    <mergeCell ref="A106:B106"/>
    <mergeCell ref="A127:B127"/>
    <mergeCell ref="A148:B148"/>
    <mergeCell ref="A169:B169"/>
    <mergeCell ref="A190:B190"/>
    <mergeCell ref="A348:B348"/>
    <mergeCell ref="A364:B364"/>
    <mergeCell ref="N333:N343"/>
    <mergeCell ref="N350:N360"/>
    <mergeCell ref="A211:B211"/>
    <mergeCell ref="A331:B331"/>
    <mergeCell ref="N5:N15"/>
    <mergeCell ref="N257:N267"/>
    <mergeCell ref="N279:N289"/>
    <mergeCell ref="N297:N307"/>
    <mergeCell ref="N315:N325"/>
    <mergeCell ref="A3:B3"/>
    <mergeCell ref="A255:B255"/>
    <mergeCell ref="A277:B277"/>
    <mergeCell ref="A295:B295"/>
    <mergeCell ref="A313:B313"/>
    <mergeCell ref="A232:B232"/>
  </mergeCells>
  <conditionalFormatting sqref="C5:M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0:M35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{E3D5C7FC-1DA6-4F93-9B52-30DAE79BA016}</x14:id>
        </ext>
      </extLst>
    </cfRule>
  </conditionalFormatting>
  <conditionalFormatting sqref="D297:M29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8:M29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9:M29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0:M3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1:M30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2:M3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3:M30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4:M30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5:M30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6:M30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7:M3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D5C7FC-1DA6-4F93-9B52-30DAE79BA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C350:M358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zoomScaleNormal="100" workbookViewId="0">
      <selection activeCell="C25" sqref="C25"/>
    </sheetView>
  </sheetViews>
  <sheetFormatPr defaultColWidth="11" defaultRowHeight="15.75" x14ac:dyDescent="0.25"/>
  <cols>
    <col min="1" max="1" width="61.5" customWidth="1"/>
    <col min="2" max="2" width="15.75" customWidth="1"/>
    <col min="3" max="3" width="24.25" customWidth="1"/>
    <col min="4" max="4" width="24.125" customWidth="1"/>
    <col min="5" max="6" width="23.125" customWidth="1"/>
    <col min="7" max="7" width="18.25" customWidth="1"/>
    <col min="8" max="8" width="21.75" customWidth="1"/>
  </cols>
  <sheetData>
    <row r="1" spans="1:8" x14ac:dyDescent="0.25">
      <c r="A1" s="9" t="s">
        <v>34</v>
      </c>
    </row>
    <row r="3" spans="1:8" ht="45" x14ac:dyDescent="0.25">
      <c r="A3" s="82" t="s">
        <v>42</v>
      </c>
      <c r="B3" s="82"/>
      <c r="C3" s="2" t="s">
        <v>43</v>
      </c>
      <c r="D3" s="2" t="s">
        <v>40</v>
      </c>
      <c r="E3" s="2" t="s">
        <v>41</v>
      </c>
      <c r="F3" s="2"/>
      <c r="G3" s="2" t="s">
        <v>112</v>
      </c>
    </row>
    <row r="4" spans="1:8" x14ac:dyDescent="0.25">
      <c r="A4" s="17" t="s">
        <v>13</v>
      </c>
      <c r="B4" s="15" t="s">
        <v>14</v>
      </c>
      <c r="C4" s="15">
        <v>1</v>
      </c>
      <c r="D4" s="15">
        <v>2</v>
      </c>
      <c r="E4" s="15">
        <v>3</v>
      </c>
      <c r="F4" s="15"/>
      <c r="G4" s="15">
        <v>4</v>
      </c>
    </row>
    <row r="5" spans="1:8" x14ac:dyDescent="0.25">
      <c r="A5" s="13" t="s">
        <v>44</v>
      </c>
      <c r="B5" s="16">
        <v>1</v>
      </c>
      <c r="C5" s="24">
        <v>11</v>
      </c>
      <c r="D5" s="5">
        <v>8.6999999999999993</v>
      </c>
      <c r="E5" s="5">
        <v>2436</v>
      </c>
      <c r="F5" s="5">
        <f>'1.1'!M6</f>
        <v>473.7</v>
      </c>
      <c r="G5" s="5">
        <f>(F5*1000000/('1.7'!D5*365))/1000</f>
        <v>149.17335852621636</v>
      </c>
    </row>
    <row r="6" spans="1:8" x14ac:dyDescent="0.25">
      <c r="A6" s="14" t="s">
        <v>45</v>
      </c>
      <c r="B6" s="16">
        <v>2</v>
      </c>
      <c r="C6" s="24">
        <v>184</v>
      </c>
      <c r="D6" s="5">
        <v>10.199999999999999</v>
      </c>
      <c r="E6" s="5">
        <v>2290</v>
      </c>
      <c r="F6" s="5">
        <f>'1.1'!M7</f>
        <v>63.5</v>
      </c>
      <c r="G6" s="5">
        <f>(F6*1000000/('1.7'!D6*365))/1000</f>
        <v>17.056137523502557</v>
      </c>
    </row>
    <row r="7" spans="1:8" x14ac:dyDescent="0.25">
      <c r="A7" s="13" t="s">
        <v>46</v>
      </c>
      <c r="B7" s="16">
        <v>3</v>
      </c>
      <c r="C7" s="24">
        <v>3</v>
      </c>
      <c r="D7" s="5">
        <v>4.5</v>
      </c>
      <c r="E7" s="5">
        <v>1721</v>
      </c>
      <c r="F7" s="5">
        <f>'1.1'!M8</f>
        <v>18.7</v>
      </c>
      <c r="G7" s="5">
        <f>(F7*1000000/('1.7'!D7*365))/1000</f>
        <v>11.385083713850838</v>
      </c>
    </row>
    <row r="8" spans="1:8" x14ac:dyDescent="0.25">
      <c r="A8" s="46" t="s">
        <v>97</v>
      </c>
      <c r="B8" s="16">
        <v>4</v>
      </c>
      <c r="C8" s="47" t="s">
        <v>79</v>
      </c>
      <c r="D8" s="66">
        <f>(D5*C5+D6*C6+D7*C7)/(SUM(C5:C7))</f>
        <v>10.030303030303031</v>
      </c>
      <c r="E8" s="67">
        <f>(E5*SUM('1.8'!K5:K15)+'1.7'!E6*SUM('1.8'!K19:K202)+'1.7'!E7*SUM('1.8'!K16:K18))/'1.8'!K203</f>
        <v>2376.1485749997187</v>
      </c>
      <c r="F8" s="5" t="s">
        <v>79</v>
      </c>
      <c r="G8" s="44" t="s">
        <v>79</v>
      </c>
    </row>
    <row r="9" spans="1:8" x14ac:dyDescent="0.25">
      <c r="E9" s="43"/>
      <c r="G9" s="43"/>
    </row>
    <row r="10" spans="1:8" x14ac:dyDescent="0.25">
      <c r="A10" s="6" t="s">
        <v>8</v>
      </c>
    </row>
    <row r="13" spans="1:8" x14ac:dyDescent="0.25">
      <c r="A13" s="9" t="s">
        <v>34</v>
      </c>
    </row>
    <row r="15" spans="1:8" ht="60" x14ac:dyDescent="0.25">
      <c r="A15" s="82" t="s">
        <v>42</v>
      </c>
      <c r="B15" s="82"/>
      <c r="C15" s="2" t="s">
        <v>43</v>
      </c>
      <c r="D15" s="2" t="s">
        <v>40</v>
      </c>
      <c r="E15" s="2" t="s">
        <v>275</v>
      </c>
      <c r="F15" s="2" t="s">
        <v>41</v>
      </c>
      <c r="G15" s="2" t="s">
        <v>276</v>
      </c>
      <c r="H15" s="2" t="s">
        <v>277</v>
      </c>
    </row>
    <row r="16" spans="1:8" x14ac:dyDescent="0.25">
      <c r="A16" s="17" t="s">
        <v>13</v>
      </c>
      <c r="B16" s="15" t="s">
        <v>14</v>
      </c>
      <c r="C16" s="15">
        <v>1</v>
      </c>
      <c r="D16" s="15">
        <v>2</v>
      </c>
      <c r="E16" s="15">
        <v>3</v>
      </c>
      <c r="F16" s="15">
        <v>4</v>
      </c>
      <c r="G16" s="15">
        <v>5</v>
      </c>
      <c r="H16" s="15">
        <v>6</v>
      </c>
    </row>
    <row r="17" spans="1:8" x14ac:dyDescent="0.25">
      <c r="A17" s="13" t="s">
        <v>44</v>
      </c>
      <c r="B17" s="16">
        <v>1</v>
      </c>
      <c r="C17" s="24">
        <v>11</v>
      </c>
      <c r="D17" s="5">
        <v>8.6999999999999993</v>
      </c>
      <c r="E17" s="65">
        <f>D17*365/1000000</f>
        <v>3.1754999999999995E-3</v>
      </c>
      <c r="F17" s="5">
        <v>2436</v>
      </c>
      <c r="G17" s="5">
        <v>473.7</v>
      </c>
      <c r="H17" s="44">
        <f>G17/E17/1000</f>
        <v>149.17335852621636</v>
      </c>
    </row>
    <row r="18" spans="1:8" x14ac:dyDescent="0.25">
      <c r="A18" s="14" t="s">
        <v>45</v>
      </c>
      <c r="B18" s="16">
        <v>2</v>
      </c>
      <c r="C18" s="24">
        <v>184</v>
      </c>
      <c r="D18" s="5">
        <v>10.199999999999999</v>
      </c>
      <c r="E18" s="65">
        <f t="shared" ref="E18:E19" si="0">D18*365/1000000</f>
        <v>3.7229999999999997E-3</v>
      </c>
      <c r="F18" s="5">
        <v>2290</v>
      </c>
      <c r="G18" s="5">
        <v>63.5</v>
      </c>
      <c r="H18" s="44">
        <f t="shared" ref="H18:H19" si="1">G18/E18/1000</f>
        <v>17.056137523502553</v>
      </c>
    </row>
    <row r="19" spans="1:8" x14ac:dyDescent="0.25">
      <c r="A19" s="13" t="s">
        <v>46</v>
      </c>
      <c r="B19" s="16">
        <v>3</v>
      </c>
      <c r="C19" s="24">
        <v>3</v>
      </c>
      <c r="D19" s="5">
        <v>4.5</v>
      </c>
      <c r="E19" s="65">
        <f t="shared" si="0"/>
        <v>1.6425000000000001E-3</v>
      </c>
      <c r="F19" s="5">
        <v>1721</v>
      </c>
      <c r="G19" s="5">
        <v>18.7</v>
      </c>
      <c r="H19" s="44">
        <f t="shared" si="1"/>
        <v>11.385083713850836</v>
      </c>
    </row>
    <row r="20" spans="1:8" x14ac:dyDescent="0.25">
      <c r="A20" s="13" t="s">
        <v>278</v>
      </c>
      <c r="B20" s="16">
        <v>4</v>
      </c>
      <c r="C20" s="5" t="s">
        <v>28</v>
      </c>
      <c r="D20" s="5">
        <f>SUMPRODUCT(C17:C19,D17:D19)/(SUM(C17:C19))</f>
        <v>10.030303030303031</v>
      </c>
      <c r="E20" s="5" t="s">
        <v>28</v>
      </c>
      <c r="F20" s="5">
        <f>SUMPRODUCT(H17:H19,F17:F19)/SUM(H17:H19)</f>
        <v>2376.1483203237849</v>
      </c>
      <c r="G20" s="5" t="s">
        <v>28</v>
      </c>
      <c r="H20" s="5" t="s">
        <v>28</v>
      </c>
    </row>
    <row r="22" spans="1:8" x14ac:dyDescent="0.25">
      <c r="A22" s="6" t="s">
        <v>26</v>
      </c>
    </row>
  </sheetData>
  <mergeCells count="2">
    <mergeCell ref="A3:B3"/>
    <mergeCell ref="A15:B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17"/>
  <sheetViews>
    <sheetView tabSelected="1" zoomScaleNormal="100" workbookViewId="0">
      <selection activeCell="U23" sqref="U23"/>
    </sheetView>
  </sheetViews>
  <sheetFormatPr defaultColWidth="10.75" defaultRowHeight="15" x14ac:dyDescent="0.2"/>
  <cols>
    <col min="1" max="1" width="20.375" style="6" customWidth="1"/>
    <col min="2" max="2" width="20.75" style="6" customWidth="1"/>
    <col min="3" max="3" width="20.5" style="6" customWidth="1"/>
    <col min="4" max="6" width="20.75" style="6" customWidth="1"/>
    <col min="7" max="9" width="20.5" style="6" customWidth="1"/>
    <col min="10" max="10" width="15.75" style="6" customWidth="1"/>
    <col min="11" max="11" width="15.25" style="6" bestFit="1" customWidth="1"/>
    <col min="12" max="12" width="15.625" style="6" bestFit="1" customWidth="1"/>
    <col min="13" max="13" width="18.625" style="6" customWidth="1"/>
    <col min="14" max="14" width="14.75" style="6" customWidth="1"/>
    <col min="15" max="15" width="16.75" style="6" customWidth="1"/>
    <col min="16" max="16" width="17.625" style="6" customWidth="1"/>
    <col min="17" max="16384" width="10.75" style="6"/>
  </cols>
  <sheetData>
    <row r="1" spans="1:18" ht="15.75" x14ac:dyDescent="0.25">
      <c r="A1" s="8" t="s">
        <v>34</v>
      </c>
    </row>
    <row r="3" spans="1:18" ht="75" x14ac:dyDescent="0.2">
      <c r="A3" s="22" t="s">
        <v>35</v>
      </c>
      <c r="B3" s="22" t="s">
        <v>36</v>
      </c>
      <c r="C3" s="22" t="s">
        <v>37</v>
      </c>
      <c r="D3" s="2" t="s">
        <v>119</v>
      </c>
      <c r="E3" s="2" t="s">
        <v>120</v>
      </c>
      <c r="F3" s="2" t="s">
        <v>124</v>
      </c>
      <c r="G3" s="22" t="s">
        <v>38</v>
      </c>
      <c r="H3" s="2" t="s">
        <v>119</v>
      </c>
      <c r="I3" s="2" t="s">
        <v>120</v>
      </c>
      <c r="J3" s="2" t="s">
        <v>124</v>
      </c>
      <c r="K3" s="22" t="s">
        <v>39</v>
      </c>
      <c r="L3" s="2" t="s">
        <v>119</v>
      </c>
      <c r="M3" s="2" t="s">
        <v>120</v>
      </c>
      <c r="N3" s="2" t="s">
        <v>124</v>
      </c>
      <c r="O3" s="22" t="s">
        <v>40</v>
      </c>
      <c r="P3" s="2" t="s">
        <v>119</v>
      </c>
      <c r="Q3" s="2" t="s">
        <v>120</v>
      </c>
      <c r="R3" s="2" t="s">
        <v>124</v>
      </c>
    </row>
    <row r="4" spans="1:18" x14ac:dyDescent="0.2">
      <c r="A4" s="23">
        <v>1</v>
      </c>
      <c r="B4" s="23">
        <v>2</v>
      </c>
      <c r="C4" s="23">
        <v>3</v>
      </c>
      <c r="D4" s="23">
        <v>3</v>
      </c>
      <c r="E4" s="23">
        <v>4</v>
      </c>
      <c r="F4" s="23">
        <v>5</v>
      </c>
      <c r="G4" s="23">
        <v>7</v>
      </c>
      <c r="H4" s="23">
        <v>3</v>
      </c>
      <c r="I4" s="23">
        <v>4</v>
      </c>
      <c r="J4" s="23">
        <v>5</v>
      </c>
      <c r="K4" s="23">
        <v>8</v>
      </c>
      <c r="L4" s="23">
        <v>3</v>
      </c>
      <c r="M4" s="23">
        <v>4</v>
      </c>
      <c r="N4" s="23">
        <v>5</v>
      </c>
      <c r="O4" s="23">
        <v>9</v>
      </c>
      <c r="P4" s="23">
        <v>3</v>
      </c>
      <c r="Q4" s="23">
        <v>4</v>
      </c>
      <c r="R4" s="23">
        <v>5</v>
      </c>
    </row>
    <row r="5" spans="1:18" x14ac:dyDescent="0.2">
      <c r="A5" s="21">
        <v>5</v>
      </c>
      <c r="B5" s="21">
        <v>1</v>
      </c>
      <c r="C5" s="20">
        <v>89620</v>
      </c>
      <c r="D5" s="64">
        <f>C5-$C$212</f>
        <v>86812.166666666672</v>
      </c>
      <c r="E5" s="63">
        <f>ABS(D5)</f>
        <v>86812.166666666672</v>
      </c>
      <c r="F5" s="64">
        <f>POWER(E5,2)</f>
        <v>7536352281.3611116</v>
      </c>
      <c r="G5" s="20">
        <v>1607</v>
      </c>
      <c r="H5" s="64">
        <f>G5-$C$213</f>
        <v>1570.3535353535353</v>
      </c>
      <c r="I5" s="63">
        <f>ABS(H5)</f>
        <v>1570.3535353535353</v>
      </c>
      <c r="J5" s="64">
        <f>POWER(I5,2)</f>
        <v>2466010.2259973474</v>
      </c>
      <c r="K5" s="20">
        <v>34920</v>
      </c>
      <c r="L5" s="64">
        <f>K5-$C$214</f>
        <v>34022.959595959597</v>
      </c>
      <c r="M5" s="63">
        <f>ABS(L5)</f>
        <v>34022.959595959597</v>
      </c>
      <c r="N5" s="64">
        <f>POWER(M5,2)</f>
        <v>1157561779.6682992</v>
      </c>
      <c r="O5" s="20">
        <v>7.03</v>
      </c>
      <c r="P5" s="64">
        <f>O5-$C$215</f>
        <v>-3.0391919191919117</v>
      </c>
      <c r="Q5" s="63">
        <f>ABS(P5)</f>
        <v>3.0391919191919117</v>
      </c>
      <c r="R5" s="64">
        <f>POWER(Q5,2)</f>
        <v>9.2366875216814162</v>
      </c>
    </row>
    <row r="6" spans="1:18" x14ac:dyDescent="0.2">
      <c r="A6" s="21">
        <v>7</v>
      </c>
      <c r="B6" s="21">
        <v>1</v>
      </c>
      <c r="C6" s="20">
        <v>79530</v>
      </c>
      <c r="D6" s="64">
        <f t="shared" ref="D6:D69" si="0">C6-$C$212</f>
        <v>76722.166666666672</v>
      </c>
      <c r="E6" s="63">
        <f t="shared" ref="E6:E69" si="1">ABS(D6)</f>
        <v>76722.166666666672</v>
      </c>
      <c r="F6" s="64">
        <f t="shared" ref="F6:F69" si="2">POWER(E6,2)</f>
        <v>5886290858.0277786</v>
      </c>
      <c r="G6" s="20">
        <v>427</v>
      </c>
      <c r="H6" s="64">
        <f t="shared" ref="H6:H69" si="3">G6-$C$213</f>
        <v>390.35353535353534</v>
      </c>
      <c r="I6" s="63">
        <f t="shared" ref="I6:I69" si="4">ABS(H6)</f>
        <v>390.35353535353534</v>
      </c>
      <c r="J6" s="64">
        <f t="shared" ref="J6:J69" si="5">POWER(I6,2)</f>
        <v>152375.88256300375</v>
      </c>
      <c r="K6" s="20">
        <v>23275</v>
      </c>
      <c r="L6" s="64">
        <f t="shared" ref="L6:L69" si="6">K6-$C$214</f>
        <v>22377.959595959597</v>
      </c>
      <c r="M6" s="63">
        <f t="shared" ref="M6:M69" si="7">ABS(L6)</f>
        <v>22377.959595959597</v>
      </c>
      <c r="N6" s="64">
        <f t="shared" ref="N6:N69" si="8">POWER(M6,2)</f>
        <v>500773075.67840022</v>
      </c>
      <c r="O6" s="20">
        <v>9.36</v>
      </c>
      <c r="P6" s="64">
        <f t="shared" ref="P6:P69" si="9">O6-$C$215</f>
        <v>-0.70919191919191249</v>
      </c>
      <c r="Q6" s="63">
        <f t="shared" ref="Q6:Q69" si="10">ABS(P6)</f>
        <v>0.70919191919191249</v>
      </c>
      <c r="R6" s="64">
        <f t="shared" ref="R6:R69" si="11">POWER(Q6,2)</f>
        <v>0.50295317824710817</v>
      </c>
    </row>
    <row r="7" spans="1:18" x14ac:dyDescent="0.2">
      <c r="A7" s="21">
        <v>1</v>
      </c>
      <c r="B7" s="21">
        <v>1</v>
      </c>
      <c r="C7" s="20">
        <v>58748</v>
      </c>
      <c r="D7" s="64">
        <f t="shared" si="0"/>
        <v>55940.166666666664</v>
      </c>
      <c r="E7" s="63">
        <f t="shared" si="1"/>
        <v>55940.166666666664</v>
      </c>
      <c r="F7" s="64">
        <f t="shared" si="2"/>
        <v>3129302246.6944442</v>
      </c>
      <c r="G7" s="20">
        <v>679</v>
      </c>
      <c r="H7" s="64">
        <f t="shared" si="3"/>
        <v>642.35353535353534</v>
      </c>
      <c r="I7" s="63">
        <f t="shared" si="4"/>
        <v>642.35353535353534</v>
      </c>
      <c r="J7" s="64">
        <f t="shared" si="5"/>
        <v>412618.06438118557</v>
      </c>
      <c r="K7" s="20">
        <v>14538</v>
      </c>
      <c r="L7" s="64">
        <f t="shared" si="6"/>
        <v>13640.959595959595</v>
      </c>
      <c r="M7" s="63">
        <f t="shared" si="7"/>
        <v>13640.959595959595</v>
      </c>
      <c r="N7" s="64">
        <f t="shared" si="8"/>
        <v>186075778.69860217</v>
      </c>
      <c r="O7" s="20">
        <v>11.07</v>
      </c>
      <c r="P7" s="64">
        <f t="shared" si="9"/>
        <v>1.0008080808080884</v>
      </c>
      <c r="Q7" s="63">
        <f t="shared" si="10"/>
        <v>1.0008080808080884</v>
      </c>
      <c r="R7" s="64">
        <f t="shared" si="11"/>
        <v>1.0016168146107691</v>
      </c>
    </row>
    <row r="8" spans="1:18" x14ac:dyDescent="0.2">
      <c r="A8" s="21">
        <v>2</v>
      </c>
      <c r="B8" s="21">
        <v>1</v>
      </c>
      <c r="C8" s="20">
        <v>57911</v>
      </c>
      <c r="D8" s="64">
        <f t="shared" si="0"/>
        <v>55103.166666666664</v>
      </c>
      <c r="E8" s="63">
        <f t="shared" si="1"/>
        <v>55103.166666666664</v>
      </c>
      <c r="F8" s="64">
        <f t="shared" si="2"/>
        <v>3036358976.6944442</v>
      </c>
      <c r="G8" s="20">
        <v>431</v>
      </c>
      <c r="H8" s="64">
        <f t="shared" si="3"/>
        <v>394.35353535353534</v>
      </c>
      <c r="I8" s="63">
        <f t="shared" si="4"/>
        <v>394.35353535353534</v>
      </c>
      <c r="J8" s="64">
        <f t="shared" si="5"/>
        <v>155514.71084583204</v>
      </c>
      <c r="K8" s="20">
        <v>11291</v>
      </c>
      <c r="L8" s="64">
        <f t="shared" si="6"/>
        <v>10393.959595959595</v>
      </c>
      <c r="M8" s="63">
        <f t="shared" si="7"/>
        <v>10393.959595959595</v>
      </c>
      <c r="N8" s="64">
        <f t="shared" si="8"/>
        <v>108034396.08244056</v>
      </c>
      <c r="O8" s="20">
        <v>14.05</v>
      </c>
      <c r="P8" s="64">
        <f t="shared" si="9"/>
        <v>3.9808080808080888</v>
      </c>
      <c r="Q8" s="63">
        <f t="shared" si="10"/>
        <v>3.9808080808080888</v>
      </c>
      <c r="R8" s="64">
        <f t="shared" si="11"/>
        <v>15.846832976226979</v>
      </c>
    </row>
    <row r="9" spans="1:18" x14ac:dyDescent="0.2">
      <c r="A9" s="21">
        <v>3</v>
      </c>
      <c r="B9" s="21">
        <v>1</v>
      </c>
      <c r="C9" s="20">
        <v>42540</v>
      </c>
      <c r="D9" s="64">
        <f t="shared" si="0"/>
        <v>39732.166666666664</v>
      </c>
      <c r="E9" s="63">
        <f t="shared" si="1"/>
        <v>39732.166666666664</v>
      </c>
      <c r="F9" s="64">
        <f t="shared" si="2"/>
        <v>1578645068.0277777</v>
      </c>
      <c r="G9" s="20">
        <v>517</v>
      </c>
      <c r="H9" s="64">
        <f t="shared" si="3"/>
        <v>480.35353535353534</v>
      </c>
      <c r="I9" s="63">
        <f t="shared" si="4"/>
        <v>480.35353535353534</v>
      </c>
      <c r="J9" s="64">
        <f t="shared" si="5"/>
        <v>230739.51892664013</v>
      </c>
      <c r="K9" s="20">
        <v>12044</v>
      </c>
      <c r="L9" s="64">
        <f t="shared" si="6"/>
        <v>11146.959595959595</v>
      </c>
      <c r="M9" s="63">
        <f t="shared" si="7"/>
        <v>11146.959595959595</v>
      </c>
      <c r="N9" s="64">
        <f t="shared" si="8"/>
        <v>124254708.23395571</v>
      </c>
      <c r="O9" s="20">
        <v>9.68</v>
      </c>
      <c r="P9" s="64">
        <f t="shared" si="9"/>
        <v>-0.38919191919191221</v>
      </c>
      <c r="Q9" s="63">
        <f t="shared" si="10"/>
        <v>0.38919191919191221</v>
      </c>
      <c r="R9" s="64">
        <f t="shared" si="11"/>
        <v>0.15147034996428391</v>
      </c>
    </row>
    <row r="10" spans="1:18" x14ac:dyDescent="0.2">
      <c r="A10" s="21">
        <v>4</v>
      </c>
      <c r="B10" s="21">
        <v>1</v>
      </c>
      <c r="C10" s="20">
        <v>38900</v>
      </c>
      <c r="D10" s="64">
        <f t="shared" si="0"/>
        <v>36092.166666666664</v>
      </c>
      <c r="E10" s="63">
        <f t="shared" si="1"/>
        <v>36092.166666666664</v>
      </c>
      <c r="F10" s="64">
        <f t="shared" si="2"/>
        <v>1302644494.6944442</v>
      </c>
      <c r="G10" s="20">
        <v>478</v>
      </c>
      <c r="H10" s="64">
        <f t="shared" si="3"/>
        <v>441.35353535353534</v>
      </c>
      <c r="I10" s="63">
        <f t="shared" si="4"/>
        <v>441.35353535353534</v>
      </c>
      <c r="J10" s="64">
        <f t="shared" si="5"/>
        <v>194792.94316906435</v>
      </c>
      <c r="K10" s="20">
        <v>10807</v>
      </c>
      <c r="L10" s="64">
        <f t="shared" si="6"/>
        <v>9909.9595959595954</v>
      </c>
      <c r="M10" s="63">
        <f t="shared" si="7"/>
        <v>9909.9595959595954</v>
      </c>
      <c r="N10" s="64">
        <f t="shared" si="8"/>
        <v>98207299.193551674</v>
      </c>
      <c r="O10" s="20">
        <v>9.86</v>
      </c>
      <c r="P10" s="64">
        <f t="shared" si="9"/>
        <v>-0.20919191919191249</v>
      </c>
      <c r="Q10" s="63">
        <f t="shared" si="10"/>
        <v>0.20919191919191249</v>
      </c>
      <c r="R10" s="64">
        <f t="shared" si="11"/>
        <v>4.3761259055195643E-2</v>
      </c>
    </row>
    <row r="11" spans="1:18" x14ac:dyDescent="0.2">
      <c r="A11" s="21">
        <v>6</v>
      </c>
      <c r="B11" s="21">
        <v>1</v>
      </c>
      <c r="C11" s="20">
        <v>29200</v>
      </c>
      <c r="D11" s="64">
        <f t="shared" si="0"/>
        <v>26392.166666666668</v>
      </c>
      <c r="E11" s="63">
        <f t="shared" si="1"/>
        <v>26392.166666666668</v>
      </c>
      <c r="F11" s="64">
        <f t="shared" si="2"/>
        <v>696546461.36111116</v>
      </c>
      <c r="G11" s="20">
        <v>398</v>
      </c>
      <c r="H11" s="64">
        <f t="shared" si="3"/>
        <v>361.35353535353534</v>
      </c>
      <c r="I11" s="63">
        <f t="shared" si="4"/>
        <v>361.35353535353534</v>
      </c>
      <c r="J11" s="64">
        <f t="shared" si="5"/>
        <v>130576.37751249872</v>
      </c>
      <c r="K11" s="20">
        <v>10500</v>
      </c>
      <c r="L11" s="64">
        <f t="shared" si="6"/>
        <v>9602.9595959595954</v>
      </c>
      <c r="M11" s="63">
        <f t="shared" si="7"/>
        <v>9602.9595959595954</v>
      </c>
      <c r="N11" s="64">
        <f t="shared" si="8"/>
        <v>92216833.001632482</v>
      </c>
      <c r="O11" s="20">
        <v>7.62</v>
      </c>
      <c r="P11" s="64">
        <f t="shared" si="9"/>
        <v>-2.4491919191919118</v>
      </c>
      <c r="Q11" s="63">
        <f t="shared" si="10"/>
        <v>2.4491919191919118</v>
      </c>
      <c r="R11" s="64">
        <f t="shared" si="11"/>
        <v>5.9985410570349602</v>
      </c>
    </row>
    <row r="12" spans="1:18" x14ac:dyDescent="0.2">
      <c r="A12" s="21">
        <v>10</v>
      </c>
      <c r="B12" s="21">
        <v>1</v>
      </c>
      <c r="C12" s="20">
        <v>22645</v>
      </c>
      <c r="D12" s="64">
        <f t="shared" si="0"/>
        <v>19837.166666666668</v>
      </c>
      <c r="E12" s="63">
        <f t="shared" si="1"/>
        <v>19837.166666666668</v>
      </c>
      <c r="F12" s="64">
        <f t="shared" si="2"/>
        <v>393513181.36111116</v>
      </c>
      <c r="G12" s="20">
        <v>371</v>
      </c>
      <c r="H12" s="64">
        <f t="shared" si="3"/>
        <v>334.35353535353534</v>
      </c>
      <c r="I12" s="63">
        <f t="shared" si="4"/>
        <v>334.35353535353534</v>
      </c>
      <c r="J12" s="64">
        <f t="shared" si="5"/>
        <v>111792.2866034078</v>
      </c>
      <c r="K12" s="20">
        <v>8410</v>
      </c>
      <c r="L12" s="64">
        <f t="shared" si="6"/>
        <v>7512.9595959595963</v>
      </c>
      <c r="M12" s="63">
        <f t="shared" si="7"/>
        <v>7512.9595959595963</v>
      </c>
      <c r="N12" s="64">
        <f t="shared" si="8"/>
        <v>56444561.890521377</v>
      </c>
      <c r="O12" s="20">
        <v>7.38</v>
      </c>
      <c r="P12" s="64">
        <f t="shared" si="9"/>
        <v>-2.689191919191912</v>
      </c>
      <c r="Q12" s="63">
        <f t="shared" si="10"/>
        <v>2.689191919191912</v>
      </c>
      <c r="R12" s="64">
        <f t="shared" si="11"/>
        <v>7.2317531782470788</v>
      </c>
    </row>
    <row r="13" spans="1:18" x14ac:dyDescent="0.2">
      <c r="A13" s="21">
        <v>12</v>
      </c>
      <c r="B13" s="21">
        <v>1</v>
      </c>
      <c r="C13" s="20">
        <v>20449</v>
      </c>
      <c r="D13" s="64">
        <f t="shared" si="0"/>
        <v>17641.166666666668</v>
      </c>
      <c r="E13" s="63">
        <f t="shared" si="1"/>
        <v>17641.166666666668</v>
      </c>
      <c r="F13" s="64">
        <f t="shared" si="2"/>
        <v>311210761.36111116</v>
      </c>
      <c r="G13" s="20">
        <v>287</v>
      </c>
      <c r="H13" s="64">
        <f t="shared" si="3"/>
        <v>250.35353535353536</v>
      </c>
      <c r="I13" s="63">
        <f t="shared" si="4"/>
        <v>250.35353535353536</v>
      </c>
      <c r="J13" s="64">
        <f t="shared" si="5"/>
        <v>62676.892664013882</v>
      </c>
      <c r="K13" s="20">
        <v>8225</v>
      </c>
      <c r="L13" s="64">
        <f t="shared" si="6"/>
        <v>7327.9595959595963</v>
      </c>
      <c r="M13" s="63">
        <f t="shared" si="7"/>
        <v>7327.9595959595963</v>
      </c>
      <c r="N13" s="64">
        <f t="shared" si="8"/>
        <v>53698991.840016328</v>
      </c>
      <c r="O13" s="25">
        <v>6.81</v>
      </c>
      <c r="P13" s="64">
        <f t="shared" si="9"/>
        <v>-3.2591919191919123</v>
      </c>
      <c r="Q13" s="63">
        <f t="shared" si="10"/>
        <v>3.2591919191919123</v>
      </c>
      <c r="R13" s="64">
        <f t="shared" si="11"/>
        <v>10.622331966125861</v>
      </c>
    </row>
    <row r="14" spans="1:18" x14ac:dyDescent="0.2">
      <c r="A14" s="21">
        <v>14</v>
      </c>
      <c r="B14" s="21">
        <v>1</v>
      </c>
      <c r="C14" s="20">
        <v>19600</v>
      </c>
      <c r="D14" s="64">
        <f t="shared" si="0"/>
        <v>16792.166666666668</v>
      </c>
      <c r="E14" s="63">
        <f t="shared" si="1"/>
        <v>16792.166666666668</v>
      </c>
      <c r="F14" s="64">
        <f t="shared" si="2"/>
        <v>281976861.36111116</v>
      </c>
      <c r="G14" s="20">
        <v>459</v>
      </c>
      <c r="H14" s="64">
        <f t="shared" si="3"/>
        <v>422.35353535353534</v>
      </c>
      <c r="I14" s="63">
        <f t="shared" si="4"/>
        <v>422.35353535353534</v>
      </c>
      <c r="J14" s="64">
        <f t="shared" si="5"/>
        <v>178382.50882563001</v>
      </c>
      <c r="K14" s="20">
        <v>10030</v>
      </c>
      <c r="L14" s="64">
        <f t="shared" si="6"/>
        <v>9132.9595959595954</v>
      </c>
      <c r="M14" s="63">
        <f t="shared" si="7"/>
        <v>9132.9595959595954</v>
      </c>
      <c r="N14" s="64">
        <f t="shared" si="8"/>
        <v>83410950.981430456</v>
      </c>
      <c r="O14" s="20">
        <v>5.35</v>
      </c>
      <c r="P14" s="64">
        <f t="shared" si="9"/>
        <v>-4.7191919191919123</v>
      </c>
      <c r="Q14" s="63">
        <f t="shared" si="10"/>
        <v>4.7191919191919123</v>
      </c>
      <c r="R14" s="64">
        <f t="shared" si="11"/>
        <v>22.270772370166245</v>
      </c>
    </row>
    <row r="15" spans="1:18" x14ac:dyDescent="0.2">
      <c r="A15" s="21">
        <v>9</v>
      </c>
      <c r="B15" s="21">
        <v>1</v>
      </c>
      <c r="C15" s="20">
        <v>14588</v>
      </c>
      <c r="D15" s="64">
        <f t="shared" si="0"/>
        <v>11780.166666666666</v>
      </c>
      <c r="E15" s="63">
        <f t="shared" si="1"/>
        <v>11780.166666666666</v>
      </c>
      <c r="F15" s="64">
        <f t="shared" si="2"/>
        <v>138772326.69444442</v>
      </c>
      <c r="G15" s="20">
        <v>279</v>
      </c>
      <c r="H15" s="64">
        <f t="shared" si="3"/>
        <v>242.35353535353536</v>
      </c>
      <c r="I15" s="63">
        <f t="shared" si="4"/>
        <v>242.35353535353536</v>
      </c>
      <c r="J15" s="64">
        <f t="shared" si="5"/>
        <v>58735.236098357316</v>
      </c>
      <c r="K15" s="20">
        <v>5133</v>
      </c>
      <c r="L15" s="64">
        <f t="shared" si="6"/>
        <v>4235.9595959595963</v>
      </c>
      <c r="M15" s="63">
        <f t="shared" si="7"/>
        <v>4235.9595959595963</v>
      </c>
      <c r="N15" s="64">
        <f t="shared" si="8"/>
        <v>17943353.698602185</v>
      </c>
      <c r="O15" s="20">
        <v>7.79</v>
      </c>
      <c r="P15" s="64">
        <f t="shared" si="9"/>
        <v>-2.2791919191919119</v>
      </c>
      <c r="Q15" s="63">
        <f t="shared" si="10"/>
        <v>2.2791919191919119</v>
      </c>
      <c r="R15" s="64">
        <f t="shared" si="11"/>
        <v>5.1947158045097108</v>
      </c>
    </row>
    <row r="16" spans="1:18" x14ac:dyDescent="0.2">
      <c r="A16" s="21">
        <v>16</v>
      </c>
      <c r="B16" s="21">
        <v>3</v>
      </c>
      <c r="C16" s="20">
        <v>8012</v>
      </c>
      <c r="D16" s="64">
        <f t="shared" si="0"/>
        <v>5204.1666666666661</v>
      </c>
      <c r="E16" s="63">
        <f t="shared" si="1"/>
        <v>5204.1666666666661</v>
      </c>
      <c r="F16" s="64">
        <f t="shared" si="2"/>
        <v>27083350.694444437</v>
      </c>
      <c r="G16" s="20">
        <v>208</v>
      </c>
      <c r="H16" s="64">
        <f t="shared" si="3"/>
        <v>171.35353535353536</v>
      </c>
      <c r="I16" s="63">
        <f t="shared" si="4"/>
        <v>171.35353535353536</v>
      </c>
      <c r="J16" s="64">
        <f t="shared" si="5"/>
        <v>29362.034078155295</v>
      </c>
      <c r="K16" s="20">
        <v>4860</v>
      </c>
      <c r="L16" s="64">
        <f t="shared" si="6"/>
        <v>3962.9595959595958</v>
      </c>
      <c r="M16" s="63">
        <f t="shared" si="7"/>
        <v>3962.9595959595958</v>
      </c>
      <c r="N16" s="64">
        <f t="shared" si="8"/>
        <v>15705048.759208243</v>
      </c>
      <c r="O16" s="20">
        <v>4.5199999999999996</v>
      </c>
      <c r="P16" s="64">
        <f t="shared" si="9"/>
        <v>-5.5491919191919123</v>
      </c>
      <c r="Q16" s="63">
        <f t="shared" si="10"/>
        <v>5.5491919191919123</v>
      </c>
      <c r="R16" s="64">
        <f t="shared" si="11"/>
        <v>30.793530956024821</v>
      </c>
    </row>
    <row r="17" spans="1:18" x14ac:dyDescent="0.2">
      <c r="A17" s="21">
        <v>19</v>
      </c>
      <c r="B17" s="21">
        <v>3</v>
      </c>
      <c r="C17" s="20">
        <v>6370</v>
      </c>
      <c r="D17" s="64">
        <f t="shared" si="0"/>
        <v>3562.1666666666665</v>
      </c>
      <c r="E17" s="63">
        <f t="shared" si="1"/>
        <v>3562.1666666666665</v>
      </c>
      <c r="F17" s="64">
        <f t="shared" si="2"/>
        <v>12689031.36111111</v>
      </c>
      <c r="G17" s="20">
        <v>171</v>
      </c>
      <c r="H17" s="64">
        <f t="shared" si="3"/>
        <v>134.35353535353536</v>
      </c>
      <c r="I17" s="63">
        <f t="shared" si="4"/>
        <v>134.35353535353536</v>
      </c>
      <c r="J17" s="64">
        <f t="shared" si="5"/>
        <v>18050.872461993677</v>
      </c>
      <c r="K17" s="20">
        <v>3975</v>
      </c>
      <c r="L17" s="64">
        <f t="shared" si="6"/>
        <v>3077.9595959595958</v>
      </c>
      <c r="M17" s="63">
        <f t="shared" si="7"/>
        <v>3077.9595959595958</v>
      </c>
      <c r="N17" s="64">
        <f t="shared" si="8"/>
        <v>9473835.2743597589</v>
      </c>
      <c r="O17" s="20">
        <v>4.3899999999999997</v>
      </c>
      <c r="P17" s="64">
        <f t="shared" si="9"/>
        <v>-5.6791919191919122</v>
      </c>
      <c r="Q17" s="63">
        <f t="shared" si="10"/>
        <v>5.6791919191919122</v>
      </c>
      <c r="R17" s="64">
        <f t="shared" si="11"/>
        <v>32.253220855014717</v>
      </c>
    </row>
    <row r="18" spans="1:18" x14ac:dyDescent="0.2">
      <c r="A18" s="21">
        <v>21</v>
      </c>
      <c r="B18" s="21">
        <v>3</v>
      </c>
      <c r="C18" s="20">
        <v>4349</v>
      </c>
      <c r="D18" s="64">
        <f t="shared" si="0"/>
        <v>1541.1666666666665</v>
      </c>
      <c r="E18" s="63">
        <f t="shared" si="1"/>
        <v>1541.1666666666665</v>
      </c>
      <c r="F18" s="64">
        <f t="shared" si="2"/>
        <v>2375194.694444444</v>
      </c>
      <c r="G18" s="20">
        <v>111</v>
      </c>
      <c r="H18" s="64">
        <f t="shared" si="3"/>
        <v>74.353535353535364</v>
      </c>
      <c r="I18" s="63">
        <f t="shared" si="4"/>
        <v>74.353535353535364</v>
      </c>
      <c r="J18" s="64">
        <f t="shared" si="5"/>
        <v>5528.4482195694336</v>
      </c>
      <c r="K18" s="20">
        <v>2550</v>
      </c>
      <c r="L18" s="64">
        <f t="shared" si="6"/>
        <v>1652.9595959595958</v>
      </c>
      <c r="M18" s="63">
        <f t="shared" si="7"/>
        <v>1652.9595959595958</v>
      </c>
      <c r="N18" s="64">
        <f t="shared" si="8"/>
        <v>2732275.4258749103</v>
      </c>
      <c r="O18" s="20">
        <v>4.67</v>
      </c>
      <c r="P18" s="64">
        <f t="shared" si="9"/>
        <v>-5.399191919191912</v>
      </c>
      <c r="Q18" s="63">
        <f t="shared" si="10"/>
        <v>5.399191919191912</v>
      </c>
      <c r="R18" s="64">
        <f t="shared" si="11"/>
        <v>29.151273380267241</v>
      </c>
    </row>
    <row r="19" spans="1:18" x14ac:dyDescent="0.2">
      <c r="A19" s="21">
        <v>8</v>
      </c>
      <c r="B19" s="21">
        <v>2</v>
      </c>
      <c r="C19" s="20">
        <v>2873</v>
      </c>
      <c r="D19" s="64">
        <f t="shared" si="0"/>
        <v>65.166666666666515</v>
      </c>
      <c r="E19" s="63">
        <f t="shared" si="1"/>
        <v>65.166666666666515</v>
      </c>
      <c r="F19" s="64">
        <f t="shared" si="2"/>
        <v>4246.6944444444243</v>
      </c>
      <c r="G19" s="20">
        <v>38</v>
      </c>
      <c r="H19" s="64">
        <f t="shared" si="3"/>
        <v>1.3535353535353565</v>
      </c>
      <c r="I19" s="63">
        <f t="shared" si="4"/>
        <v>1.3535353535353565</v>
      </c>
      <c r="J19" s="64">
        <f t="shared" si="5"/>
        <v>1.8320579532700825</v>
      </c>
      <c r="K19" s="20">
        <v>1026</v>
      </c>
      <c r="L19" s="64">
        <f t="shared" si="6"/>
        <v>128.95959595959596</v>
      </c>
      <c r="M19" s="63">
        <f t="shared" si="7"/>
        <v>128.95959595959596</v>
      </c>
      <c r="N19" s="64">
        <f t="shared" si="8"/>
        <v>16630.577390062237</v>
      </c>
      <c r="O19" s="20">
        <v>7.67</v>
      </c>
      <c r="P19" s="64">
        <f t="shared" si="9"/>
        <v>-2.399191919191912</v>
      </c>
      <c r="Q19" s="63">
        <f t="shared" si="10"/>
        <v>2.399191919191912</v>
      </c>
      <c r="R19" s="64">
        <f t="shared" si="11"/>
        <v>5.7561218651157704</v>
      </c>
    </row>
    <row r="20" spans="1:18" x14ac:dyDescent="0.2">
      <c r="A20" s="21">
        <v>11</v>
      </c>
      <c r="B20" s="21">
        <v>2</v>
      </c>
      <c r="C20" s="20">
        <v>2044</v>
      </c>
      <c r="D20" s="64">
        <f t="shared" si="0"/>
        <v>-763.83333333333348</v>
      </c>
      <c r="E20" s="63">
        <f t="shared" si="1"/>
        <v>763.83333333333348</v>
      </c>
      <c r="F20" s="64">
        <f t="shared" si="2"/>
        <v>583441.36111111136</v>
      </c>
      <c r="G20" s="20">
        <v>15</v>
      </c>
      <c r="H20" s="64">
        <f t="shared" si="3"/>
        <v>-21.646464646464644</v>
      </c>
      <c r="I20" s="63">
        <f t="shared" si="4"/>
        <v>21.646464646464644</v>
      </c>
      <c r="J20" s="64">
        <f t="shared" si="5"/>
        <v>468.56943169064368</v>
      </c>
      <c r="K20" s="20">
        <v>386</v>
      </c>
      <c r="L20" s="64">
        <f t="shared" si="6"/>
        <v>-511.04040404040404</v>
      </c>
      <c r="M20" s="63">
        <f t="shared" si="7"/>
        <v>511.04040404040404</v>
      </c>
      <c r="N20" s="64">
        <f t="shared" si="8"/>
        <v>261162.29456177942</v>
      </c>
      <c r="O20" s="20">
        <v>14.51</v>
      </c>
      <c r="P20" s="64">
        <f t="shared" si="9"/>
        <v>4.4408080808080879</v>
      </c>
      <c r="Q20" s="63">
        <f t="shared" si="10"/>
        <v>4.4408080808080879</v>
      </c>
      <c r="R20" s="64">
        <f t="shared" si="11"/>
        <v>19.720776410570412</v>
      </c>
    </row>
    <row r="21" spans="1:18" x14ac:dyDescent="0.2">
      <c r="A21" s="21">
        <v>13</v>
      </c>
      <c r="B21" s="21">
        <v>2</v>
      </c>
      <c r="C21" s="20">
        <v>1780</v>
      </c>
      <c r="D21" s="64">
        <f t="shared" si="0"/>
        <v>-1027.8333333333335</v>
      </c>
      <c r="E21" s="63">
        <f t="shared" si="1"/>
        <v>1027.8333333333335</v>
      </c>
      <c r="F21" s="64">
        <f t="shared" si="2"/>
        <v>1056441.3611111115</v>
      </c>
      <c r="G21" s="20">
        <v>9</v>
      </c>
      <c r="H21" s="64">
        <f t="shared" si="3"/>
        <v>-27.646464646464644</v>
      </c>
      <c r="I21" s="63">
        <f t="shared" si="4"/>
        <v>27.646464646464644</v>
      </c>
      <c r="J21" s="64">
        <f t="shared" si="5"/>
        <v>764.32700744821943</v>
      </c>
      <c r="K21" s="20">
        <v>324</v>
      </c>
      <c r="L21" s="64">
        <f t="shared" si="6"/>
        <v>-573.04040404040404</v>
      </c>
      <c r="M21" s="63">
        <f t="shared" si="7"/>
        <v>573.04040404040404</v>
      </c>
      <c r="N21" s="64">
        <f t="shared" si="8"/>
        <v>328375.30466278951</v>
      </c>
      <c r="O21" s="20">
        <v>15.05</v>
      </c>
      <c r="P21" s="64">
        <f t="shared" si="9"/>
        <v>4.9808080808080888</v>
      </c>
      <c r="Q21" s="63">
        <f t="shared" si="10"/>
        <v>4.9808080808080888</v>
      </c>
      <c r="R21" s="64">
        <f t="shared" si="11"/>
        <v>24.808449137843155</v>
      </c>
    </row>
    <row r="22" spans="1:18" x14ac:dyDescent="0.2">
      <c r="A22" s="21">
        <v>17</v>
      </c>
      <c r="B22" s="21">
        <v>2</v>
      </c>
      <c r="C22" s="20">
        <v>1754</v>
      </c>
      <c r="D22" s="64">
        <f t="shared" si="0"/>
        <v>-1053.8333333333335</v>
      </c>
      <c r="E22" s="63">
        <f t="shared" si="1"/>
        <v>1053.8333333333335</v>
      </c>
      <c r="F22" s="64">
        <f t="shared" si="2"/>
        <v>1110564.6944444447</v>
      </c>
      <c r="G22" s="20">
        <v>3</v>
      </c>
      <c r="H22" s="64">
        <f t="shared" si="3"/>
        <v>-33.646464646464644</v>
      </c>
      <c r="I22" s="63">
        <f t="shared" si="4"/>
        <v>33.646464646464644</v>
      </c>
      <c r="J22" s="64">
        <f t="shared" si="5"/>
        <v>1132.0845832057951</v>
      </c>
      <c r="K22" s="20">
        <v>292</v>
      </c>
      <c r="L22" s="64">
        <f t="shared" si="6"/>
        <v>-605.04040404040404</v>
      </c>
      <c r="M22" s="63">
        <f t="shared" si="7"/>
        <v>605.04040404040404</v>
      </c>
      <c r="N22" s="64">
        <f t="shared" si="8"/>
        <v>366073.89052137535</v>
      </c>
      <c r="O22" s="20">
        <v>16.46</v>
      </c>
      <c r="P22" s="64">
        <f t="shared" si="9"/>
        <v>6.3908080808080889</v>
      </c>
      <c r="Q22" s="63">
        <f t="shared" si="10"/>
        <v>6.3908080808080889</v>
      </c>
      <c r="R22" s="64">
        <f t="shared" si="11"/>
        <v>40.842427925721971</v>
      </c>
    </row>
    <row r="23" spans="1:18" x14ac:dyDescent="0.2">
      <c r="A23" s="21">
        <v>18</v>
      </c>
      <c r="B23" s="21">
        <v>2</v>
      </c>
      <c r="C23" s="20">
        <v>1345</v>
      </c>
      <c r="D23" s="64">
        <f t="shared" si="0"/>
        <v>-1462.8333333333335</v>
      </c>
      <c r="E23" s="63">
        <f t="shared" si="1"/>
        <v>1462.8333333333335</v>
      </c>
      <c r="F23" s="64">
        <f t="shared" si="2"/>
        <v>2139881.3611111115</v>
      </c>
      <c r="G23" s="20">
        <v>6</v>
      </c>
      <c r="H23" s="64">
        <f t="shared" si="3"/>
        <v>-30.646464646464644</v>
      </c>
      <c r="I23" s="63">
        <f t="shared" si="4"/>
        <v>30.646464646464644</v>
      </c>
      <c r="J23" s="64">
        <f t="shared" si="5"/>
        <v>939.20579532700731</v>
      </c>
      <c r="K23" s="20">
        <v>234</v>
      </c>
      <c r="L23" s="64">
        <f t="shared" si="6"/>
        <v>-663.04040404040404</v>
      </c>
      <c r="M23" s="63">
        <f t="shared" si="7"/>
        <v>663.04040404040404</v>
      </c>
      <c r="N23" s="64">
        <f t="shared" si="8"/>
        <v>439622.57739006222</v>
      </c>
      <c r="O23" s="20">
        <v>15.75</v>
      </c>
      <c r="P23" s="64">
        <f t="shared" si="9"/>
        <v>5.6808080808080881</v>
      </c>
      <c r="Q23" s="63">
        <f t="shared" si="10"/>
        <v>5.6808080808080881</v>
      </c>
      <c r="R23" s="64">
        <f t="shared" si="11"/>
        <v>32.271580450974476</v>
      </c>
    </row>
    <row r="24" spans="1:18" x14ac:dyDescent="0.2">
      <c r="A24" s="21">
        <v>26</v>
      </c>
      <c r="B24" s="21">
        <v>2</v>
      </c>
      <c r="C24" s="20">
        <v>1093</v>
      </c>
      <c r="D24" s="64">
        <f t="shared" si="0"/>
        <v>-1714.8333333333335</v>
      </c>
      <c r="E24" s="63">
        <f t="shared" si="1"/>
        <v>1714.8333333333335</v>
      </c>
      <c r="F24" s="64">
        <f t="shared" si="2"/>
        <v>2940653.3611111115</v>
      </c>
      <c r="G24" s="20">
        <v>15</v>
      </c>
      <c r="H24" s="64">
        <f t="shared" si="3"/>
        <v>-21.646464646464644</v>
      </c>
      <c r="I24" s="63">
        <f t="shared" si="4"/>
        <v>21.646464646464644</v>
      </c>
      <c r="J24" s="64">
        <f t="shared" si="5"/>
        <v>468.56943169064368</v>
      </c>
      <c r="K24" s="20">
        <v>201</v>
      </c>
      <c r="L24" s="64">
        <f t="shared" si="6"/>
        <v>-696.04040404040404</v>
      </c>
      <c r="M24" s="63">
        <f t="shared" si="7"/>
        <v>696.04040404040404</v>
      </c>
      <c r="N24" s="64">
        <f t="shared" si="8"/>
        <v>484472.2440567289</v>
      </c>
      <c r="O24" s="20">
        <v>14.9</v>
      </c>
      <c r="P24" s="64">
        <f t="shared" si="9"/>
        <v>4.8308080808080884</v>
      </c>
      <c r="Q24" s="63">
        <f t="shared" si="10"/>
        <v>4.8308080808080884</v>
      </c>
      <c r="R24" s="64">
        <f t="shared" si="11"/>
        <v>23.336706713600726</v>
      </c>
    </row>
    <row r="25" spans="1:18" x14ac:dyDescent="0.2">
      <c r="A25" s="21">
        <v>27</v>
      </c>
      <c r="B25" s="21">
        <v>2</v>
      </c>
      <c r="C25" s="20">
        <v>1090</v>
      </c>
      <c r="D25" s="64">
        <f t="shared" si="0"/>
        <v>-1717.8333333333335</v>
      </c>
      <c r="E25" s="63">
        <f t="shared" si="1"/>
        <v>1717.8333333333335</v>
      </c>
      <c r="F25" s="64">
        <f t="shared" si="2"/>
        <v>2950951.3611111115</v>
      </c>
      <c r="G25" s="20">
        <v>7</v>
      </c>
      <c r="H25" s="64">
        <f t="shared" si="3"/>
        <v>-29.646464646464644</v>
      </c>
      <c r="I25" s="63">
        <f t="shared" si="4"/>
        <v>29.646464646464644</v>
      </c>
      <c r="J25" s="64">
        <f t="shared" si="5"/>
        <v>878.91286603407798</v>
      </c>
      <c r="K25" s="20">
        <v>178</v>
      </c>
      <c r="L25" s="64">
        <f t="shared" si="6"/>
        <v>-719.04040404040404</v>
      </c>
      <c r="M25" s="63">
        <f t="shared" si="7"/>
        <v>719.04040404040404</v>
      </c>
      <c r="N25" s="64">
        <f t="shared" si="8"/>
        <v>517019.1026425875</v>
      </c>
      <c r="O25" s="20">
        <v>16.78</v>
      </c>
      <c r="P25" s="64">
        <f t="shared" si="9"/>
        <v>6.7108080808080892</v>
      </c>
      <c r="Q25" s="63">
        <f t="shared" si="10"/>
        <v>6.7108080808080892</v>
      </c>
      <c r="R25" s="64">
        <f t="shared" si="11"/>
        <v>45.034945097439149</v>
      </c>
    </row>
    <row r="26" spans="1:18" x14ac:dyDescent="0.2">
      <c r="A26" s="21">
        <v>156</v>
      </c>
      <c r="B26" s="21">
        <v>2</v>
      </c>
      <c r="C26" s="20">
        <v>898</v>
      </c>
      <c r="D26" s="64">
        <f t="shared" si="0"/>
        <v>-1909.8333333333335</v>
      </c>
      <c r="E26" s="63">
        <f t="shared" si="1"/>
        <v>1909.8333333333335</v>
      </c>
      <c r="F26" s="64">
        <f t="shared" si="2"/>
        <v>3647463.3611111115</v>
      </c>
      <c r="G26" s="20">
        <v>7</v>
      </c>
      <c r="H26" s="64">
        <f t="shared" si="3"/>
        <v>-29.646464646464644</v>
      </c>
      <c r="I26" s="63">
        <f t="shared" si="4"/>
        <v>29.646464646464644</v>
      </c>
      <c r="J26" s="64">
        <f t="shared" si="5"/>
        <v>878.91286603407798</v>
      </c>
      <c r="K26" s="20">
        <v>160</v>
      </c>
      <c r="L26" s="64">
        <f t="shared" si="6"/>
        <v>-737.04040404040404</v>
      </c>
      <c r="M26" s="63">
        <f t="shared" si="7"/>
        <v>737.04040404040404</v>
      </c>
      <c r="N26" s="64">
        <f t="shared" si="8"/>
        <v>543228.55718804209</v>
      </c>
      <c r="O26" s="20">
        <v>15.38</v>
      </c>
      <c r="P26" s="64">
        <f t="shared" si="9"/>
        <v>5.3108080808080889</v>
      </c>
      <c r="Q26" s="63">
        <f t="shared" si="10"/>
        <v>5.3108080808080889</v>
      </c>
      <c r="R26" s="64">
        <f t="shared" si="11"/>
        <v>28.204682471176497</v>
      </c>
    </row>
    <row r="27" spans="1:18" x14ac:dyDescent="0.2">
      <c r="A27" s="21">
        <v>157</v>
      </c>
      <c r="B27" s="21">
        <v>2</v>
      </c>
      <c r="C27" s="20">
        <v>892</v>
      </c>
      <c r="D27" s="64">
        <f t="shared" si="0"/>
        <v>-1915.8333333333335</v>
      </c>
      <c r="E27" s="63">
        <f t="shared" si="1"/>
        <v>1915.8333333333335</v>
      </c>
      <c r="F27" s="64">
        <f t="shared" si="2"/>
        <v>3670417.3611111115</v>
      </c>
      <c r="G27" s="20">
        <v>9</v>
      </c>
      <c r="H27" s="64">
        <f t="shared" si="3"/>
        <v>-27.646464646464644</v>
      </c>
      <c r="I27" s="63">
        <f t="shared" si="4"/>
        <v>27.646464646464644</v>
      </c>
      <c r="J27" s="64">
        <f t="shared" si="5"/>
        <v>764.32700744821943</v>
      </c>
      <c r="K27" s="20">
        <v>164</v>
      </c>
      <c r="L27" s="64">
        <f t="shared" si="6"/>
        <v>-733.04040404040404</v>
      </c>
      <c r="M27" s="63">
        <f t="shared" si="7"/>
        <v>733.04040404040404</v>
      </c>
      <c r="N27" s="64">
        <f t="shared" si="8"/>
        <v>537348.23395571881</v>
      </c>
      <c r="O27" s="20">
        <v>14.9</v>
      </c>
      <c r="P27" s="64">
        <f t="shared" si="9"/>
        <v>4.8308080808080884</v>
      </c>
      <c r="Q27" s="63">
        <f t="shared" si="10"/>
        <v>4.8308080808080884</v>
      </c>
      <c r="R27" s="64">
        <f t="shared" si="11"/>
        <v>23.336706713600726</v>
      </c>
    </row>
    <row r="28" spans="1:18" x14ac:dyDescent="0.2">
      <c r="A28" s="21">
        <v>159</v>
      </c>
      <c r="B28" s="21">
        <v>2</v>
      </c>
      <c r="C28" s="20">
        <v>890</v>
      </c>
      <c r="D28" s="64">
        <f t="shared" si="0"/>
        <v>-1917.8333333333335</v>
      </c>
      <c r="E28" s="63">
        <f t="shared" si="1"/>
        <v>1917.8333333333335</v>
      </c>
      <c r="F28" s="64">
        <f t="shared" si="2"/>
        <v>3678084.694444445</v>
      </c>
      <c r="G28" s="20">
        <v>5</v>
      </c>
      <c r="H28" s="64">
        <f t="shared" si="3"/>
        <v>-31.646464646464644</v>
      </c>
      <c r="I28" s="63">
        <f t="shared" si="4"/>
        <v>31.646464646464644</v>
      </c>
      <c r="J28" s="64">
        <f t="shared" si="5"/>
        <v>1001.4987246199365</v>
      </c>
      <c r="K28" s="20">
        <v>173</v>
      </c>
      <c r="L28" s="64">
        <f t="shared" si="6"/>
        <v>-724.04040404040404</v>
      </c>
      <c r="M28" s="63">
        <f t="shared" si="7"/>
        <v>724.04040404040404</v>
      </c>
      <c r="N28" s="64">
        <f t="shared" si="8"/>
        <v>524234.50668299152</v>
      </c>
      <c r="O28" s="20">
        <v>14.09</v>
      </c>
      <c r="P28" s="64">
        <f t="shared" si="9"/>
        <v>4.0208080808080879</v>
      </c>
      <c r="Q28" s="63">
        <f t="shared" si="10"/>
        <v>4.0208080808080879</v>
      </c>
      <c r="R28" s="64">
        <f t="shared" si="11"/>
        <v>16.166897622691618</v>
      </c>
    </row>
    <row r="29" spans="1:18" x14ac:dyDescent="0.2">
      <c r="A29" s="21">
        <v>161</v>
      </c>
      <c r="B29" s="21">
        <v>2</v>
      </c>
      <c r="C29" s="20">
        <v>849</v>
      </c>
      <c r="D29" s="64">
        <f t="shared" si="0"/>
        <v>-1958.8333333333335</v>
      </c>
      <c r="E29" s="63">
        <f t="shared" si="1"/>
        <v>1958.8333333333335</v>
      </c>
      <c r="F29" s="64">
        <f t="shared" si="2"/>
        <v>3837028.0277777785</v>
      </c>
      <c r="G29" s="20">
        <v>18</v>
      </c>
      <c r="H29" s="64">
        <f t="shared" si="3"/>
        <v>-18.646464646464644</v>
      </c>
      <c r="I29" s="63">
        <f t="shared" si="4"/>
        <v>18.646464646464644</v>
      </c>
      <c r="J29" s="64">
        <f t="shared" si="5"/>
        <v>347.69064381185581</v>
      </c>
      <c r="K29" s="20">
        <v>187</v>
      </c>
      <c r="L29" s="64">
        <f t="shared" si="6"/>
        <v>-710.04040404040404</v>
      </c>
      <c r="M29" s="63">
        <f t="shared" si="7"/>
        <v>710.04040404040404</v>
      </c>
      <c r="N29" s="64">
        <f t="shared" si="8"/>
        <v>504157.37536986021</v>
      </c>
      <c r="O29" s="20">
        <v>12.44</v>
      </c>
      <c r="P29" s="64">
        <f t="shared" si="9"/>
        <v>2.3708080808080876</v>
      </c>
      <c r="Q29" s="63">
        <f t="shared" si="10"/>
        <v>2.3708080808080876</v>
      </c>
      <c r="R29" s="64">
        <f t="shared" si="11"/>
        <v>5.6207309560249277</v>
      </c>
    </row>
    <row r="30" spans="1:18" x14ac:dyDescent="0.2">
      <c r="A30" s="21">
        <v>162</v>
      </c>
      <c r="B30" s="21">
        <v>2</v>
      </c>
      <c r="C30" s="20">
        <v>844</v>
      </c>
      <c r="D30" s="64">
        <f t="shared" si="0"/>
        <v>-1963.8333333333335</v>
      </c>
      <c r="E30" s="63">
        <f t="shared" si="1"/>
        <v>1963.8333333333335</v>
      </c>
      <c r="F30" s="64">
        <f t="shared" si="2"/>
        <v>3856641.3611111119</v>
      </c>
      <c r="G30" s="20">
        <v>7</v>
      </c>
      <c r="H30" s="64">
        <f t="shared" si="3"/>
        <v>-29.646464646464644</v>
      </c>
      <c r="I30" s="63">
        <f t="shared" si="4"/>
        <v>29.646464646464644</v>
      </c>
      <c r="J30" s="64">
        <f t="shared" si="5"/>
        <v>878.91286603407798</v>
      </c>
      <c r="K30" s="20">
        <v>172</v>
      </c>
      <c r="L30" s="64">
        <f t="shared" si="6"/>
        <v>-725.04040404040404</v>
      </c>
      <c r="M30" s="63">
        <f t="shared" si="7"/>
        <v>725.04040404040404</v>
      </c>
      <c r="N30" s="64">
        <f t="shared" si="8"/>
        <v>525683.58749107237</v>
      </c>
      <c r="O30" s="20">
        <v>13.44</v>
      </c>
      <c r="P30" s="64">
        <f t="shared" si="9"/>
        <v>3.3708080808080876</v>
      </c>
      <c r="Q30" s="63">
        <f t="shared" si="10"/>
        <v>3.3708080808080876</v>
      </c>
      <c r="R30" s="64">
        <f t="shared" si="11"/>
        <v>11.362347117641102</v>
      </c>
    </row>
    <row r="31" spans="1:18" x14ac:dyDescent="0.2">
      <c r="A31" s="21">
        <v>163</v>
      </c>
      <c r="B31" s="21">
        <v>2</v>
      </c>
      <c r="C31" s="20">
        <v>804</v>
      </c>
      <c r="D31" s="64">
        <f t="shared" si="0"/>
        <v>-2003.8333333333335</v>
      </c>
      <c r="E31" s="63">
        <f t="shared" si="1"/>
        <v>2003.8333333333335</v>
      </c>
      <c r="F31" s="64">
        <f t="shared" si="2"/>
        <v>4015348.0277777785</v>
      </c>
      <c r="G31" s="20">
        <v>7</v>
      </c>
      <c r="H31" s="64">
        <f t="shared" si="3"/>
        <v>-29.646464646464644</v>
      </c>
      <c r="I31" s="63">
        <f t="shared" si="4"/>
        <v>29.646464646464644</v>
      </c>
      <c r="J31" s="64">
        <f t="shared" si="5"/>
        <v>878.91286603407798</v>
      </c>
      <c r="K31" s="20">
        <v>169</v>
      </c>
      <c r="L31" s="64">
        <f t="shared" si="6"/>
        <v>-728.04040404040404</v>
      </c>
      <c r="M31" s="63">
        <f t="shared" si="7"/>
        <v>728.04040404040404</v>
      </c>
      <c r="N31" s="64">
        <f t="shared" si="8"/>
        <v>530042.8299153148</v>
      </c>
      <c r="O31" s="20">
        <v>13.03</v>
      </c>
      <c r="P31" s="64">
        <f t="shared" si="9"/>
        <v>2.9608080808080874</v>
      </c>
      <c r="Q31" s="63">
        <f t="shared" si="10"/>
        <v>2.9608080808080874</v>
      </c>
      <c r="R31" s="64">
        <f t="shared" si="11"/>
        <v>8.7663844913784708</v>
      </c>
    </row>
    <row r="32" spans="1:18" x14ac:dyDescent="0.2">
      <c r="A32" s="21">
        <v>164</v>
      </c>
      <c r="B32" s="21">
        <v>2</v>
      </c>
      <c r="C32" s="20">
        <v>797</v>
      </c>
      <c r="D32" s="64">
        <f t="shared" si="0"/>
        <v>-2010.8333333333335</v>
      </c>
      <c r="E32" s="63">
        <f t="shared" si="1"/>
        <v>2010.8333333333335</v>
      </c>
      <c r="F32" s="64">
        <f t="shared" si="2"/>
        <v>4043450.694444445</v>
      </c>
      <c r="G32" s="20">
        <v>9</v>
      </c>
      <c r="H32" s="64">
        <f t="shared" si="3"/>
        <v>-27.646464646464644</v>
      </c>
      <c r="I32" s="63">
        <f t="shared" si="4"/>
        <v>27.646464646464644</v>
      </c>
      <c r="J32" s="64">
        <f t="shared" si="5"/>
        <v>764.32700744821943</v>
      </c>
      <c r="K32" s="20">
        <v>168</v>
      </c>
      <c r="L32" s="64">
        <f t="shared" si="6"/>
        <v>-729.04040404040404</v>
      </c>
      <c r="M32" s="63">
        <f t="shared" si="7"/>
        <v>729.04040404040404</v>
      </c>
      <c r="N32" s="64">
        <f t="shared" si="8"/>
        <v>531499.91072339553</v>
      </c>
      <c r="O32" s="20">
        <v>13</v>
      </c>
      <c r="P32" s="64">
        <f t="shared" si="9"/>
        <v>2.9308080808080881</v>
      </c>
      <c r="Q32" s="63">
        <f t="shared" si="10"/>
        <v>2.9308080808080881</v>
      </c>
      <c r="R32" s="64">
        <f t="shared" si="11"/>
        <v>8.5896360065299877</v>
      </c>
    </row>
    <row r="33" spans="1:18" x14ac:dyDescent="0.2">
      <c r="A33" s="21">
        <v>165</v>
      </c>
      <c r="B33" s="21">
        <v>2</v>
      </c>
      <c r="C33" s="20">
        <v>794</v>
      </c>
      <c r="D33" s="64">
        <f t="shared" si="0"/>
        <v>-2013.8333333333335</v>
      </c>
      <c r="E33" s="63">
        <f t="shared" si="1"/>
        <v>2013.8333333333335</v>
      </c>
      <c r="F33" s="64">
        <f t="shared" si="2"/>
        <v>4055524.694444445</v>
      </c>
      <c r="G33" s="20">
        <v>6</v>
      </c>
      <c r="H33" s="64">
        <f t="shared" si="3"/>
        <v>-30.646464646464644</v>
      </c>
      <c r="I33" s="63">
        <f t="shared" si="4"/>
        <v>30.646464646464644</v>
      </c>
      <c r="J33" s="64">
        <f t="shared" si="5"/>
        <v>939.20579532700731</v>
      </c>
      <c r="K33" s="20">
        <v>156</v>
      </c>
      <c r="L33" s="64">
        <f t="shared" si="6"/>
        <v>-741.04040404040404</v>
      </c>
      <c r="M33" s="63">
        <f t="shared" si="7"/>
        <v>741.04040404040404</v>
      </c>
      <c r="N33" s="64">
        <f t="shared" si="8"/>
        <v>549140.88042036525</v>
      </c>
      <c r="O33" s="20">
        <v>13.94</v>
      </c>
      <c r="P33" s="64">
        <f t="shared" si="9"/>
        <v>3.8708080808080876</v>
      </c>
      <c r="Q33" s="63">
        <f t="shared" si="10"/>
        <v>3.8708080808080876</v>
      </c>
      <c r="R33" s="64">
        <f t="shared" si="11"/>
        <v>14.98315519844919</v>
      </c>
    </row>
    <row r="34" spans="1:18" x14ac:dyDescent="0.2">
      <c r="A34" s="21">
        <v>167</v>
      </c>
      <c r="B34" s="21">
        <v>2</v>
      </c>
      <c r="C34" s="20">
        <v>738</v>
      </c>
      <c r="D34" s="64">
        <f t="shared" si="0"/>
        <v>-2069.8333333333335</v>
      </c>
      <c r="E34" s="63">
        <f t="shared" si="1"/>
        <v>2069.8333333333335</v>
      </c>
      <c r="F34" s="64">
        <f t="shared" si="2"/>
        <v>4284210.027777778</v>
      </c>
      <c r="G34" s="20">
        <v>5</v>
      </c>
      <c r="H34" s="64">
        <f t="shared" si="3"/>
        <v>-31.646464646464644</v>
      </c>
      <c r="I34" s="63">
        <f t="shared" si="4"/>
        <v>31.646464646464644</v>
      </c>
      <c r="J34" s="64">
        <f t="shared" si="5"/>
        <v>1001.4987246199365</v>
      </c>
      <c r="K34" s="20">
        <v>152</v>
      </c>
      <c r="L34" s="64">
        <f t="shared" si="6"/>
        <v>-745.04040404040404</v>
      </c>
      <c r="M34" s="63">
        <f t="shared" si="7"/>
        <v>745.04040404040404</v>
      </c>
      <c r="N34" s="64">
        <f t="shared" si="8"/>
        <v>555085.20365268853</v>
      </c>
      <c r="O34" s="20">
        <v>13.3</v>
      </c>
      <c r="P34" s="64">
        <f t="shared" si="9"/>
        <v>3.2308080808080888</v>
      </c>
      <c r="Q34" s="63">
        <f t="shared" si="10"/>
        <v>3.2308080808080888</v>
      </c>
      <c r="R34" s="64">
        <f t="shared" si="11"/>
        <v>10.438120855014846</v>
      </c>
    </row>
    <row r="35" spans="1:18" x14ac:dyDescent="0.2">
      <c r="A35" s="21">
        <v>168</v>
      </c>
      <c r="B35" s="21">
        <v>2</v>
      </c>
      <c r="C35" s="20">
        <v>687</v>
      </c>
      <c r="D35" s="64">
        <f t="shared" si="0"/>
        <v>-2120.8333333333335</v>
      </c>
      <c r="E35" s="63">
        <f t="shared" si="1"/>
        <v>2120.8333333333335</v>
      </c>
      <c r="F35" s="64">
        <f t="shared" si="2"/>
        <v>4497934.027777778</v>
      </c>
      <c r="G35" s="20">
        <v>3</v>
      </c>
      <c r="H35" s="64">
        <f t="shared" si="3"/>
        <v>-33.646464646464644</v>
      </c>
      <c r="I35" s="63">
        <f t="shared" si="4"/>
        <v>33.646464646464644</v>
      </c>
      <c r="J35" s="64">
        <f t="shared" si="5"/>
        <v>1132.0845832057951</v>
      </c>
      <c r="K35" s="20">
        <v>156</v>
      </c>
      <c r="L35" s="64">
        <f t="shared" si="6"/>
        <v>-741.04040404040404</v>
      </c>
      <c r="M35" s="63">
        <f t="shared" si="7"/>
        <v>741.04040404040404</v>
      </c>
      <c r="N35" s="64">
        <f t="shared" si="8"/>
        <v>549140.88042036525</v>
      </c>
      <c r="O35" s="20">
        <v>12.07</v>
      </c>
      <c r="P35" s="64">
        <f t="shared" si="9"/>
        <v>2.0008080808080884</v>
      </c>
      <c r="Q35" s="63">
        <f t="shared" si="10"/>
        <v>2.0008080808080884</v>
      </c>
      <c r="R35" s="64">
        <f t="shared" si="11"/>
        <v>4.0032329762269461</v>
      </c>
    </row>
    <row r="36" spans="1:18" x14ac:dyDescent="0.2">
      <c r="A36" s="21">
        <v>169</v>
      </c>
      <c r="B36" s="21">
        <v>2</v>
      </c>
      <c r="C36" s="20">
        <v>667</v>
      </c>
      <c r="D36" s="64">
        <f t="shared" si="0"/>
        <v>-2140.8333333333335</v>
      </c>
      <c r="E36" s="63">
        <f t="shared" si="1"/>
        <v>2140.8333333333335</v>
      </c>
      <c r="F36" s="64">
        <f t="shared" si="2"/>
        <v>4583167.3611111119</v>
      </c>
      <c r="G36" s="20">
        <v>6</v>
      </c>
      <c r="H36" s="64">
        <f t="shared" si="3"/>
        <v>-30.646464646464644</v>
      </c>
      <c r="I36" s="63">
        <f t="shared" si="4"/>
        <v>30.646464646464644</v>
      </c>
      <c r="J36" s="64">
        <f t="shared" si="5"/>
        <v>939.20579532700731</v>
      </c>
      <c r="K36" s="20">
        <v>187</v>
      </c>
      <c r="L36" s="64">
        <f t="shared" si="6"/>
        <v>-710.04040404040404</v>
      </c>
      <c r="M36" s="63">
        <f t="shared" si="7"/>
        <v>710.04040404040404</v>
      </c>
      <c r="N36" s="64">
        <f t="shared" si="8"/>
        <v>504157.37536986021</v>
      </c>
      <c r="O36" s="20">
        <v>9.77</v>
      </c>
      <c r="P36" s="64">
        <f t="shared" si="9"/>
        <v>-0.29919191919191235</v>
      </c>
      <c r="Q36" s="63">
        <f t="shared" si="10"/>
        <v>0.29919191919191235</v>
      </c>
      <c r="R36" s="64">
        <f t="shared" si="11"/>
        <v>8.951580450973981E-2</v>
      </c>
    </row>
    <row r="37" spans="1:18" x14ac:dyDescent="0.2">
      <c r="A37" s="21">
        <v>137</v>
      </c>
      <c r="B37" s="21">
        <v>2</v>
      </c>
      <c r="C37" s="20">
        <v>598</v>
      </c>
      <c r="D37" s="64">
        <f t="shared" si="0"/>
        <v>-2209.8333333333335</v>
      </c>
      <c r="E37" s="63">
        <f t="shared" si="1"/>
        <v>2209.8333333333335</v>
      </c>
      <c r="F37" s="64">
        <f t="shared" si="2"/>
        <v>4883363.3611111119</v>
      </c>
      <c r="G37" s="20">
        <v>7</v>
      </c>
      <c r="H37" s="64">
        <f t="shared" si="3"/>
        <v>-29.646464646464644</v>
      </c>
      <c r="I37" s="63">
        <f t="shared" si="4"/>
        <v>29.646464646464644</v>
      </c>
      <c r="J37" s="64">
        <f t="shared" si="5"/>
        <v>878.91286603407798</v>
      </c>
      <c r="K37" s="20">
        <v>156</v>
      </c>
      <c r="L37" s="64">
        <f t="shared" si="6"/>
        <v>-741.04040404040404</v>
      </c>
      <c r="M37" s="63">
        <f t="shared" si="7"/>
        <v>741.04040404040404</v>
      </c>
      <c r="N37" s="64">
        <f t="shared" si="8"/>
        <v>549140.88042036525</v>
      </c>
      <c r="O37" s="20">
        <v>10.5</v>
      </c>
      <c r="P37" s="64">
        <f t="shared" si="9"/>
        <v>0.43080808080808808</v>
      </c>
      <c r="Q37" s="63">
        <f t="shared" si="10"/>
        <v>0.43080808080808808</v>
      </c>
      <c r="R37" s="64">
        <f t="shared" si="11"/>
        <v>0.18559560248954815</v>
      </c>
    </row>
    <row r="38" spans="1:18" x14ac:dyDescent="0.2">
      <c r="A38" s="21">
        <v>72</v>
      </c>
      <c r="B38" s="21">
        <v>2</v>
      </c>
      <c r="C38" s="20">
        <v>597</v>
      </c>
      <c r="D38" s="64">
        <f t="shared" si="0"/>
        <v>-2210.8333333333335</v>
      </c>
      <c r="E38" s="63">
        <f t="shared" si="1"/>
        <v>2210.8333333333335</v>
      </c>
      <c r="F38" s="64">
        <f t="shared" si="2"/>
        <v>4887784.027777778</v>
      </c>
      <c r="G38" s="20">
        <v>5</v>
      </c>
      <c r="H38" s="64">
        <f t="shared" si="3"/>
        <v>-31.646464646464644</v>
      </c>
      <c r="I38" s="63">
        <f t="shared" si="4"/>
        <v>31.646464646464644</v>
      </c>
      <c r="J38" s="64">
        <f t="shared" si="5"/>
        <v>1001.4987246199365</v>
      </c>
      <c r="K38" s="20">
        <v>164</v>
      </c>
      <c r="L38" s="64">
        <f t="shared" si="6"/>
        <v>-733.04040404040404</v>
      </c>
      <c r="M38" s="63">
        <f t="shared" si="7"/>
        <v>733.04040404040404</v>
      </c>
      <c r="N38" s="64">
        <f t="shared" si="8"/>
        <v>537348.23395571881</v>
      </c>
      <c r="O38" s="20">
        <v>9.9700000000000006</v>
      </c>
      <c r="P38" s="64">
        <f t="shared" si="9"/>
        <v>-9.9191919191911282E-2</v>
      </c>
      <c r="Q38" s="63">
        <f t="shared" si="10"/>
        <v>9.9191919191911282E-2</v>
      </c>
      <c r="R38" s="64">
        <f t="shared" si="11"/>
        <v>9.8390368329746569E-3</v>
      </c>
    </row>
    <row r="39" spans="1:18" x14ac:dyDescent="0.2">
      <c r="A39" s="21">
        <v>170</v>
      </c>
      <c r="B39" s="21">
        <v>2</v>
      </c>
      <c r="C39" s="20">
        <v>597</v>
      </c>
      <c r="D39" s="64">
        <f t="shared" si="0"/>
        <v>-2210.8333333333335</v>
      </c>
      <c r="E39" s="63">
        <f t="shared" si="1"/>
        <v>2210.8333333333335</v>
      </c>
      <c r="F39" s="64">
        <f t="shared" si="2"/>
        <v>4887784.027777778</v>
      </c>
      <c r="G39" s="20">
        <v>6</v>
      </c>
      <c r="H39" s="64">
        <f t="shared" si="3"/>
        <v>-30.646464646464644</v>
      </c>
      <c r="I39" s="63">
        <f t="shared" si="4"/>
        <v>30.646464646464644</v>
      </c>
      <c r="J39" s="64">
        <f t="shared" si="5"/>
        <v>939.20579532700731</v>
      </c>
      <c r="K39" s="20">
        <v>195</v>
      </c>
      <c r="L39" s="64">
        <f t="shared" si="6"/>
        <v>-702.04040404040404</v>
      </c>
      <c r="M39" s="63">
        <f t="shared" si="7"/>
        <v>702.04040404040404</v>
      </c>
      <c r="N39" s="64">
        <f t="shared" si="8"/>
        <v>492860.72890521376</v>
      </c>
      <c r="O39" s="20">
        <v>8.39</v>
      </c>
      <c r="P39" s="64">
        <f t="shared" si="9"/>
        <v>-1.6791919191919114</v>
      </c>
      <c r="Q39" s="63">
        <f t="shared" si="10"/>
        <v>1.6791919191919114</v>
      </c>
      <c r="R39" s="64">
        <f t="shared" si="11"/>
        <v>2.8196855014794147</v>
      </c>
    </row>
    <row r="40" spans="1:18" x14ac:dyDescent="0.2">
      <c r="A40" s="21">
        <v>171</v>
      </c>
      <c r="B40" s="21">
        <v>2</v>
      </c>
      <c r="C40" s="20">
        <v>597</v>
      </c>
      <c r="D40" s="64">
        <f t="shared" si="0"/>
        <v>-2210.8333333333335</v>
      </c>
      <c r="E40" s="63">
        <f t="shared" si="1"/>
        <v>2210.8333333333335</v>
      </c>
      <c r="F40" s="64">
        <f t="shared" si="2"/>
        <v>4887784.027777778</v>
      </c>
      <c r="G40" s="20">
        <v>9</v>
      </c>
      <c r="H40" s="64">
        <f t="shared" si="3"/>
        <v>-27.646464646464644</v>
      </c>
      <c r="I40" s="63">
        <f t="shared" si="4"/>
        <v>27.646464646464644</v>
      </c>
      <c r="J40" s="64">
        <f t="shared" si="5"/>
        <v>764.32700744821943</v>
      </c>
      <c r="K40" s="20">
        <v>269</v>
      </c>
      <c r="L40" s="64">
        <f t="shared" si="6"/>
        <v>-628.04040404040404</v>
      </c>
      <c r="M40" s="63">
        <f t="shared" si="7"/>
        <v>628.04040404040404</v>
      </c>
      <c r="N40" s="64">
        <f t="shared" si="8"/>
        <v>394434.74910723395</v>
      </c>
      <c r="O40" s="20">
        <v>6.08</v>
      </c>
      <c r="P40" s="64">
        <f t="shared" si="9"/>
        <v>-3.9891919191919119</v>
      </c>
      <c r="Q40" s="63">
        <f t="shared" si="10"/>
        <v>3.9891919191919119</v>
      </c>
      <c r="R40" s="64">
        <f t="shared" si="11"/>
        <v>15.913652168146049</v>
      </c>
    </row>
    <row r="41" spans="1:18" x14ac:dyDescent="0.2">
      <c r="A41" s="21">
        <v>173</v>
      </c>
      <c r="B41" s="21">
        <v>2</v>
      </c>
      <c r="C41" s="20">
        <v>592</v>
      </c>
      <c r="D41" s="64">
        <f t="shared" si="0"/>
        <v>-2215.8333333333335</v>
      </c>
      <c r="E41" s="63">
        <f t="shared" si="1"/>
        <v>2215.8333333333335</v>
      </c>
      <c r="F41" s="64">
        <f t="shared" si="2"/>
        <v>4909917.3611111119</v>
      </c>
      <c r="G41" s="20">
        <v>10</v>
      </c>
      <c r="H41" s="64">
        <f t="shared" si="3"/>
        <v>-26.646464646464644</v>
      </c>
      <c r="I41" s="63">
        <f t="shared" si="4"/>
        <v>26.646464646464644</v>
      </c>
      <c r="J41" s="64">
        <f t="shared" si="5"/>
        <v>710.0340781552901</v>
      </c>
      <c r="K41" s="20">
        <v>177</v>
      </c>
      <c r="L41" s="64">
        <f t="shared" si="6"/>
        <v>-720.04040404040404</v>
      </c>
      <c r="M41" s="63">
        <f t="shared" si="7"/>
        <v>720.04040404040404</v>
      </c>
      <c r="N41" s="64">
        <f t="shared" si="8"/>
        <v>518458.18345066829</v>
      </c>
      <c r="O41" s="20">
        <v>9.16</v>
      </c>
      <c r="P41" s="64">
        <f t="shared" si="9"/>
        <v>-0.90919191919191178</v>
      </c>
      <c r="Q41" s="63">
        <f t="shared" si="10"/>
        <v>0.90919191919191178</v>
      </c>
      <c r="R41" s="64">
        <f t="shared" si="11"/>
        <v>0.82662994592387185</v>
      </c>
    </row>
    <row r="42" spans="1:18" x14ac:dyDescent="0.2">
      <c r="A42" s="21">
        <v>174</v>
      </c>
      <c r="B42" s="21">
        <v>2</v>
      </c>
      <c r="C42" s="20">
        <v>582</v>
      </c>
      <c r="D42" s="64">
        <f t="shared" si="0"/>
        <v>-2225.8333333333335</v>
      </c>
      <c r="E42" s="63">
        <f t="shared" si="1"/>
        <v>2225.8333333333335</v>
      </c>
      <c r="F42" s="64">
        <f t="shared" si="2"/>
        <v>4954334.0277777789</v>
      </c>
      <c r="G42" s="20">
        <v>2</v>
      </c>
      <c r="H42" s="64">
        <f t="shared" si="3"/>
        <v>-34.646464646464644</v>
      </c>
      <c r="I42" s="63">
        <f t="shared" si="4"/>
        <v>34.646464646464644</v>
      </c>
      <c r="J42" s="64">
        <f t="shared" si="5"/>
        <v>1200.3775124987244</v>
      </c>
      <c r="K42" s="20">
        <v>102</v>
      </c>
      <c r="L42" s="64">
        <f t="shared" si="6"/>
        <v>-795.04040404040404</v>
      </c>
      <c r="M42" s="63">
        <f t="shared" si="7"/>
        <v>795.04040404040404</v>
      </c>
      <c r="N42" s="64">
        <f t="shared" si="8"/>
        <v>632089.2440567289</v>
      </c>
      <c r="O42" s="20">
        <v>15.63</v>
      </c>
      <c r="P42" s="64">
        <f t="shared" si="9"/>
        <v>5.5608080808080889</v>
      </c>
      <c r="Q42" s="63">
        <f t="shared" si="10"/>
        <v>5.5608080808080889</v>
      </c>
      <c r="R42" s="64">
        <f t="shared" si="11"/>
        <v>30.922586511580541</v>
      </c>
    </row>
    <row r="43" spans="1:18" x14ac:dyDescent="0.2">
      <c r="A43" s="21">
        <v>63</v>
      </c>
      <c r="B43" s="21">
        <v>2</v>
      </c>
      <c r="C43" s="20">
        <v>569</v>
      </c>
      <c r="D43" s="64">
        <f t="shared" si="0"/>
        <v>-2238.8333333333335</v>
      </c>
      <c r="E43" s="63">
        <f t="shared" si="1"/>
        <v>2238.8333333333335</v>
      </c>
      <c r="F43" s="64">
        <f t="shared" si="2"/>
        <v>5012374.694444445</v>
      </c>
      <c r="G43" s="20">
        <v>7</v>
      </c>
      <c r="H43" s="64">
        <f t="shared" si="3"/>
        <v>-29.646464646464644</v>
      </c>
      <c r="I43" s="63">
        <f t="shared" si="4"/>
        <v>29.646464646464644</v>
      </c>
      <c r="J43" s="64">
        <f t="shared" si="5"/>
        <v>878.91286603407798</v>
      </c>
      <c r="K43" s="20">
        <v>134</v>
      </c>
      <c r="L43" s="64">
        <f t="shared" si="6"/>
        <v>-763.04040404040404</v>
      </c>
      <c r="M43" s="63">
        <f t="shared" si="7"/>
        <v>763.04040404040404</v>
      </c>
      <c r="N43" s="64">
        <f t="shared" si="8"/>
        <v>582230.65819814301</v>
      </c>
      <c r="O43" s="20">
        <v>11.63</v>
      </c>
      <c r="P43" s="64">
        <f t="shared" si="9"/>
        <v>1.5608080808080889</v>
      </c>
      <c r="Q43" s="63">
        <f t="shared" si="10"/>
        <v>1.5608080808080889</v>
      </c>
      <c r="R43" s="64">
        <f t="shared" si="11"/>
        <v>2.4361218651158296</v>
      </c>
    </row>
    <row r="44" spans="1:18" x14ac:dyDescent="0.2">
      <c r="A44" s="21">
        <v>20</v>
      </c>
      <c r="B44" s="21">
        <v>2</v>
      </c>
      <c r="C44" s="20">
        <v>567</v>
      </c>
      <c r="D44" s="64">
        <f t="shared" si="0"/>
        <v>-2240.8333333333335</v>
      </c>
      <c r="E44" s="63">
        <f t="shared" si="1"/>
        <v>2240.8333333333335</v>
      </c>
      <c r="F44" s="64">
        <f t="shared" si="2"/>
        <v>5021334.0277777789</v>
      </c>
      <c r="G44" s="20">
        <v>8</v>
      </c>
      <c r="H44" s="64">
        <f t="shared" si="3"/>
        <v>-28.646464646464644</v>
      </c>
      <c r="I44" s="63">
        <f t="shared" si="4"/>
        <v>28.646464646464644</v>
      </c>
      <c r="J44" s="64">
        <f t="shared" si="5"/>
        <v>820.61993674114865</v>
      </c>
      <c r="K44" s="20">
        <v>190</v>
      </c>
      <c r="L44" s="64">
        <f t="shared" si="6"/>
        <v>-707.04040404040404</v>
      </c>
      <c r="M44" s="63">
        <f t="shared" si="7"/>
        <v>707.04040404040404</v>
      </c>
      <c r="N44" s="64">
        <f t="shared" si="8"/>
        <v>499906.13294561778</v>
      </c>
      <c r="O44" s="20">
        <v>8.18</v>
      </c>
      <c r="P44" s="64">
        <f t="shared" si="9"/>
        <v>-1.8891919191919122</v>
      </c>
      <c r="Q44" s="63">
        <f t="shared" si="10"/>
        <v>1.8891919191919122</v>
      </c>
      <c r="R44" s="64">
        <f t="shared" si="11"/>
        <v>3.5690461075400206</v>
      </c>
    </row>
    <row r="45" spans="1:18" x14ac:dyDescent="0.2">
      <c r="A45" s="21">
        <v>176</v>
      </c>
      <c r="B45" s="21">
        <v>2</v>
      </c>
      <c r="C45" s="20">
        <v>548</v>
      </c>
      <c r="D45" s="64">
        <f t="shared" si="0"/>
        <v>-2259.8333333333335</v>
      </c>
      <c r="E45" s="63">
        <f t="shared" si="1"/>
        <v>2259.8333333333335</v>
      </c>
      <c r="F45" s="64">
        <f t="shared" si="2"/>
        <v>5106846.694444445</v>
      </c>
      <c r="G45" s="20">
        <v>8</v>
      </c>
      <c r="H45" s="64">
        <f t="shared" si="3"/>
        <v>-28.646464646464644</v>
      </c>
      <c r="I45" s="63">
        <f t="shared" si="4"/>
        <v>28.646464646464644</v>
      </c>
      <c r="J45" s="64">
        <f t="shared" si="5"/>
        <v>820.61993674114865</v>
      </c>
      <c r="K45" s="20">
        <v>188</v>
      </c>
      <c r="L45" s="64">
        <f t="shared" si="6"/>
        <v>-709.04040404040404</v>
      </c>
      <c r="M45" s="63">
        <f t="shared" si="7"/>
        <v>709.04040404040404</v>
      </c>
      <c r="N45" s="64">
        <f t="shared" si="8"/>
        <v>502738.29456177942</v>
      </c>
      <c r="O45" s="20">
        <v>7.99</v>
      </c>
      <c r="P45" s="64">
        <f t="shared" si="9"/>
        <v>-2.0791919191919117</v>
      </c>
      <c r="Q45" s="63">
        <f t="shared" si="10"/>
        <v>2.0791919191919117</v>
      </c>
      <c r="R45" s="64">
        <f t="shared" si="11"/>
        <v>4.3230390368329452</v>
      </c>
    </row>
    <row r="46" spans="1:18" x14ac:dyDescent="0.2">
      <c r="A46" s="21">
        <v>77</v>
      </c>
      <c r="B46" s="21">
        <v>2</v>
      </c>
      <c r="C46" s="20">
        <v>542</v>
      </c>
      <c r="D46" s="64">
        <f t="shared" si="0"/>
        <v>-2265.8333333333335</v>
      </c>
      <c r="E46" s="63">
        <f t="shared" si="1"/>
        <v>2265.8333333333335</v>
      </c>
      <c r="F46" s="64">
        <f t="shared" si="2"/>
        <v>5134000.694444445</v>
      </c>
      <c r="G46" s="20">
        <v>5</v>
      </c>
      <c r="H46" s="64">
        <f t="shared" si="3"/>
        <v>-31.646464646464644</v>
      </c>
      <c r="I46" s="63">
        <f t="shared" si="4"/>
        <v>31.646464646464644</v>
      </c>
      <c r="J46" s="64">
        <f t="shared" si="5"/>
        <v>1001.4987246199365</v>
      </c>
      <c r="K46" s="20">
        <v>121</v>
      </c>
      <c r="L46" s="64">
        <f t="shared" si="6"/>
        <v>-776.04040404040404</v>
      </c>
      <c r="M46" s="63">
        <f t="shared" si="7"/>
        <v>776.04040404040404</v>
      </c>
      <c r="N46" s="64">
        <f t="shared" si="8"/>
        <v>602238.70870319358</v>
      </c>
      <c r="O46" s="20">
        <v>12.27</v>
      </c>
      <c r="P46" s="64">
        <f t="shared" si="9"/>
        <v>2.2008080808080877</v>
      </c>
      <c r="Q46" s="63">
        <f t="shared" si="10"/>
        <v>2.2008080808080877</v>
      </c>
      <c r="R46" s="64">
        <f t="shared" si="11"/>
        <v>4.8435562085501784</v>
      </c>
    </row>
    <row r="47" spans="1:18" x14ac:dyDescent="0.2">
      <c r="A47" s="21">
        <v>28</v>
      </c>
      <c r="B47" s="21">
        <v>2</v>
      </c>
      <c r="C47" s="20">
        <v>531</v>
      </c>
      <c r="D47" s="64">
        <f t="shared" si="0"/>
        <v>-2276.8333333333335</v>
      </c>
      <c r="E47" s="63">
        <f t="shared" si="1"/>
        <v>2276.8333333333335</v>
      </c>
      <c r="F47" s="64">
        <f t="shared" si="2"/>
        <v>5183970.0277777789</v>
      </c>
      <c r="G47" s="20">
        <v>6</v>
      </c>
      <c r="H47" s="64">
        <f t="shared" si="3"/>
        <v>-30.646464646464644</v>
      </c>
      <c r="I47" s="63">
        <f t="shared" si="4"/>
        <v>30.646464646464644</v>
      </c>
      <c r="J47" s="64">
        <f t="shared" si="5"/>
        <v>939.20579532700731</v>
      </c>
      <c r="K47" s="20">
        <v>135</v>
      </c>
      <c r="L47" s="64">
        <f t="shared" si="6"/>
        <v>-762.04040404040404</v>
      </c>
      <c r="M47" s="63">
        <f t="shared" si="7"/>
        <v>762.04040404040404</v>
      </c>
      <c r="N47" s="64">
        <f t="shared" si="8"/>
        <v>580705.57739006227</v>
      </c>
      <c r="O47" s="20">
        <v>10.78</v>
      </c>
      <c r="P47" s="64">
        <f t="shared" si="9"/>
        <v>0.71080808080808744</v>
      </c>
      <c r="Q47" s="63">
        <f t="shared" si="10"/>
        <v>0.71080808080808744</v>
      </c>
      <c r="R47" s="64">
        <f t="shared" si="11"/>
        <v>0.50524812774207661</v>
      </c>
    </row>
    <row r="48" spans="1:18" x14ac:dyDescent="0.2">
      <c r="A48" s="21">
        <v>178</v>
      </c>
      <c r="B48" s="21">
        <v>2</v>
      </c>
      <c r="C48" s="20">
        <v>521</v>
      </c>
      <c r="D48" s="64">
        <f t="shared" si="0"/>
        <v>-2286.8333333333335</v>
      </c>
      <c r="E48" s="63">
        <f t="shared" si="1"/>
        <v>2286.8333333333335</v>
      </c>
      <c r="F48" s="64">
        <f t="shared" si="2"/>
        <v>5229606.694444445</v>
      </c>
      <c r="G48" s="20">
        <v>14</v>
      </c>
      <c r="H48" s="64">
        <f t="shared" si="3"/>
        <v>-22.646464646464644</v>
      </c>
      <c r="I48" s="63">
        <f t="shared" si="4"/>
        <v>22.646464646464644</v>
      </c>
      <c r="J48" s="64">
        <f t="shared" si="5"/>
        <v>512.86236098357301</v>
      </c>
      <c r="K48" s="20">
        <v>289</v>
      </c>
      <c r="L48" s="64">
        <f t="shared" si="6"/>
        <v>-608.04040404040404</v>
      </c>
      <c r="M48" s="63">
        <f t="shared" si="7"/>
        <v>608.04040404040404</v>
      </c>
      <c r="N48" s="64">
        <f t="shared" si="8"/>
        <v>369713.13294561778</v>
      </c>
      <c r="O48" s="20">
        <v>4.9400000000000004</v>
      </c>
      <c r="P48" s="64">
        <f t="shared" si="9"/>
        <v>-5.1291919191919115</v>
      </c>
      <c r="Q48" s="63">
        <f t="shared" si="10"/>
        <v>5.1291919191919115</v>
      </c>
      <c r="R48" s="64">
        <f t="shared" si="11"/>
        <v>26.308609743903606</v>
      </c>
    </row>
    <row r="49" spans="1:18" x14ac:dyDescent="0.2">
      <c r="A49" s="21">
        <v>152</v>
      </c>
      <c r="B49" s="21">
        <v>2</v>
      </c>
      <c r="C49" s="20">
        <v>501</v>
      </c>
      <c r="D49" s="64">
        <f t="shared" si="0"/>
        <v>-2306.8333333333335</v>
      </c>
      <c r="E49" s="63">
        <f t="shared" si="1"/>
        <v>2306.8333333333335</v>
      </c>
      <c r="F49" s="64">
        <f t="shared" si="2"/>
        <v>5321480.0277777789</v>
      </c>
      <c r="G49" s="20">
        <v>13</v>
      </c>
      <c r="H49" s="64">
        <f t="shared" si="3"/>
        <v>-23.646464646464644</v>
      </c>
      <c r="I49" s="63">
        <f t="shared" si="4"/>
        <v>23.646464646464644</v>
      </c>
      <c r="J49" s="64">
        <f t="shared" si="5"/>
        <v>559.15529027650223</v>
      </c>
      <c r="K49" s="20">
        <v>284</v>
      </c>
      <c r="L49" s="64">
        <f t="shared" si="6"/>
        <v>-613.04040404040404</v>
      </c>
      <c r="M49" s="63">
        <f t="shared" si="7"/>
        <v>613.04040404040404</v>
      </c>
      <c r="N49" s="64">
        <f t="shared" si="8"/>
        <v>375818.53698602185</v>
      </c>
      <c r="O49" s="20">
        <v>4.83</v>
      </c>
      <c r="P49" s="64">
        <f t="shared" si="9"/>
        <v>-5.2391919191919119</v>
      </c>
      <c r="Q49" s="63">
        <f t="shared" si="10"/>
        <v>5.2391919191919119</v>
      </c>
      <c r="R49" s="64">
        <f t="shared" si="11"/>
        <v>27.44913196612583</v>
      </c>
    </row>
    <row r="50" spans="1:18" x14ac:dyDescent="0.2">
      <c r="A50" s="21">
        <v>179</v>
      </c>
      <c r="B50" s="21">
        <v>2</v>
      </c>
      <c r="C50" s="20">
        <v>498</v>
      </c>
      <c r="D50" s="64">
        <f t="shared" si="0"/>
        <v>-2309.8333333333335</v>
      </c>
      <c r="E50" s="63">
        <f t="shared" si="1"/>
        <v>2309.8333333333335</v>
      </c>
      <c r="F50" s="64">
        <f t="shared" si="2"/>
        <v>5335330.0277777789</v>
      </c>
      <c r="G50" s="20">
        <v>10</v>
      </c>
      <c r="H50" s="64">
        <f t="shared" si="3"/>
        <v>-26.646464646464644</v>
      </c>
      <c r="I50" s="63">
        <f t="shared" si="4"/>
        <v>26.646464646464644</v>
      </c>
      <c r="J50" s="64">
        <f t="shared" si="5"/>
        <v>710.0340781552901</v>
      </c>
      <c r="K50" s="20">
        <v>244</v>
      </c>
      <c r="L50" s="64">
        <f t="shared" si="6"/>
        <v>-653.04040404040404</v>
      </c>
      <c r="M50" s="63">
        <f t="shared" si="7"/>
        <v>653.04040404040404</v>
      </c>
      <c r="N50" s="64">
        <f t="shared" si="8"/>
        <v>426461.76930925413</v>
      </c>
      <c r="O50" s="20">
        <v>5.59</v>
      </c>
      <c r="P50" s="64">
        <f t="shared" si="9"/>
        <v>-4.4791919191919121</v>
      </c>
      <c r="Q50" s="63">
        <f t="shared" si="10"/>
        <v>4.4791919191919121</v>
      </c>
      <c r="R50" s="64">
        <f t="shared" si="11"/>
        <v>20.063160248954123</v>
      </c>
    </row>
    <row r="51" spans="1:18" x14ac:dyDescent="0.2">
      <c r="A51" s="21">
        <v>180</v>
      </c>
      <c r="B51" s="21">
        <v>2</v>
      </c>
      <c r="C51" s="20">
        <v>498</v>
      </c>
      <c r="D51" s="64">
        <f t="shared" si="0"/>
        <v>-2309.8333333333335</v>
      </c>
      <c r="E51" s="63">
        <f t="shared" si="1"/>
        <v>2309.8333333333335</v>
      </c>
      <c r="F51" s="64">
        <f t="shared" si="2"/>
        <v>5335330.0277777789</v>
      </c>
      <c r="G51" s="20">
        <v>6</v>
      </c>
      <c r="H51" s="64">
        <f t="shared" si="3"/>
        <v>-30.646464646464644</v>
      </c>
      <c r="I51" s="63">
        <f t="shared" si="4"/>
        <v>30.646464646464644</v>
      </c>
      <c r="J51" s="64">
        <f t="shared" si="5"/>
        <v>939.20579532700731</v>
      </c>
      <c r="K51" s="20">
        <v>122</v>
      </c>
      <c r="L51" s="64">
        <f t="shared" si="6"/>
        <v>-775.04040404040404</v>
      </c>
      <c r="M51" s="63">
        <f t="shared" si="7"/>
        <v>775.04040404040404</v>
      </c>
      <c r="N51" s="64">
        <f t="shared" si="8"/>
        <v>600687.62789511273</v>
      </c>
      <c r="O51" s="20">
        <v>11.18</v>
      </c>
      <c r="P51" s="64">
        <f t="shared" si="9"/>
        <v>1.1108080808080878</v>
      </c>
      <c r="Q51" s="63">
        <f t="shared" si="10"/>
        <v>1.1108080808080878</v>
      </c>
      <c r="R51" s="64">
        <f t="shared" si="11"/>
        <v>1.2338945923885474</v>
      </c>
    </row>
    <row r="52" spans="1:18" x14ac:dyDescent="0.2">
      <c r="A52" s="21">
        <v>81</v>
      </c>
      <c r="B52" s="21">
        <v>2</v>
      </c>
      <c r="C52" s="20">
        <v>496</v>
      </c>
      <c r="D52" s="64">
        <f t="shared" si="0"/>
        <v>-2311.8333333333335</v>
      </c>
      <c r="E52" s="63">
        <f t="shared" si="1"/>
        <v>2311.8333333333335</v>
      </c>
      <c r="F52" s="64">
        <f t="shared" si="2"/>
        <v>5344573.3611111119</v>
      </c>
      <c r="G52" s="20">
        <v>4</v>
      </c>
      <c r="H52" s="64">
        <f t="shared" si="3"/>
        <v>-32.646464646464644</v>
      </c>
      <c r="I52" s="63">
        <f t="shared" si="4"/>
        <v>32.646464646464644</v>
      </c>
      <c r="J52" s="64">
        <f t="shared" si="5"/>
        <v>1065.7916539128657</v>
      </c>
      <c r="K52" s="20">
        <v>98</v>
      </c>
      <c r="L52" s="64">
        <f t="shared" si="6"/>
        <v>-799.04040404040404</v>
      </c>
      <c r="M52" s="63">
        <f t="shared" si="7"/>
        <v>799.04040404040404</v>
      </c>
      <c r="N52" s="64">
        <f t="shared" si="8"/>
        <v>638465.56728905218</v>
      </c>
      <c r="O52" s="20">
        <v>13.87</v>
      </c>
      <c r="P52" s="64">
        <f t="shared" si="9"/>
        <v>3.8008080808080873</v>
      </c>
      <c r="Q52" s="63">
        <f t="shared" si="10"/>
        <v>3.8008080808080873</v>
      </c>
      <c r="R52" s="64">
        <f t="shared" si="11"/>
        <v>14.446142067136055</v>
      </c>
    </row>
    <row r="53" spans="1:18" x14ac:dyDescent="0.2">
      <c r="A53" s="21">
        <v>182</v>
      </c>
      <c r="B53" s="21">
        <v>2</v>
      </c>
      <c r="C53" s="20">
        <v>496</v>
      </c>
      <c r="D53" s="64">
        <f t="shared" si="0"/>
        <v>-2311.8333333333335</v>
      </c>
      <c r="E53" s="63">
        <f t="shared" si="1"/>
        <v>2311.8333333333335</v>
      </c>
      <c r="F53" s="64">
        <f t="shared" si="2"/>
        <v>5344573.3611111119</v>
      </c>
      <c r="G53" s="20">
        <v>6</v>
      </c>
      <c r="H53" s="64">
        <f t="shared" si="3"/>
        <v>-30.646464646464644</v>
      </c>
      <c r="I53" s="63">
        <f t="shared" si="4"/>
        <v>30.646464646464644</v>
      </c>
      <c r="J53" s="64">
        <f t="shared" si="5"/>
        <v>939.20579532700731</v>
      </c>
      <c r="K53" s="20">
        <v>156</v>
      </c>
      <c r="L53" s="64">
        <f t="shared" si="6"/>
        <v>-741.04040404040404</v>
      </c>
      <c r="M53" s="63">
        <f t="shared" si="7"/>
        <v>741.04040404040404</v>
      </c>
      <c r="N53" s="64">
        <f t="shared" si="8"/>
        <v>549140.88042036525</v>
      </c>
      <c r="O53" s="20">
        <v>8.7100000000000009</v>
      </c>
      <c r="P53" s="64">
        <f t="shared" si="9"/>
        <v>-1.3591919191919111</v>
      </c>
      <c r="Q53" s="63">
        <f t="shared" si="10"/>
        <v>1.3591919191919111</v>
      </c>
      <c r="R53" s="64">
        <f t="shared" si="11"/>
        <v>1.8474026731965905</v>
      </c>
    </row>
    <row r="54" spans="1:18" x14ac:dyDescent="0.2">
      <c r="A54" s="21">
        <v>140</v>
      </c>
      <c r="B54" s="21">
        <v>2</v>
      </c>
      <c r="C54" s="20">
        <v>491</v>
      </c>
      <c r="D54" s="64">
        <f t="shared" si="0"/>
        <v>-2316.8333333333335</v>
      </c>
      <c r="E54" s="63">
        <f t="shared" si="1"/>
        <v>2316.8333333333335</v>
      </c>
      <c r="F54" s="64">
        <f t="shared" si="2"/>
        <v>5367716.694444445</v>
      </c>
      <c r="G54" s="20">
        <v>5</v>
      </c>
      <c r="H54" s="64">
        <f t="shared" si="3"/>
        <v>-31.646464646464644</v>
      </c>
      <c r="I54" s="63">
        <f t="shared" si="4"/>
        <v>31.646464646464644</v>
      </c>
      <c r="J54" s="64">
        <f t="shared" si="5"/>
        <v>1001.4987246199365</v>
      </c>
      <c r="K54" s="20">
        <v>132</v>
      </c>
      <c r="L54" s="64">
        <f t="shared" si="6"/>
        <v>-765.04040404040404</v>
      </c>
      <c r="M54" s="63">
        <f t="shared" si="7"/>
        <v>765.04040404040404</v>
      </c>
      <c r="N54" s="64">
        <f t="shared" si="8"/>
        <v>585286.8198143047</v>
      </c>
      <c r="O54" s="20">
        <v>10.19</v>
      </c>
      <c r="P54" s="64">
        <f t="shared" si="9"/>
        <v>0.12080808080808758</v>
      </c>
      <c r="Q54" s="63">
        <f t="shared" si="10"/>
        <v>0.12080808080808758</v>
      </c>
      <c r="R54" s="64">
        <f t="shared" si="11"/>
        <v>1.4594592388533419E-2</v>
      </c>
    </row>
    <row r="55" spans="1:18" x14ac:dyDescent="0.2">
      <c r="A55" s="21">
        <v>158</v>
      </c>
      <c r="B55" s="21">
        <v>2</v>
      </c>
      <c r="C55" s="20">
        <v>490</v>
      </c>
      <c r="D55" s="64">
        <f t="shared" si="0"/>
        <v>-2317.8333333333335</v>
      </c>
      <c r="E55" s="63">
        <f t="shared" si="1"/>
        <v>2317.8333333333335</v>
      </c>
      <c r="F55" s="64">
        <f t="shared" si="2"/>
        <v>5372351.3611111119</v>
      </c>
      <c r="G55" s="20">
        <v>7</v>
      </c>
      <c r="H55" s="64">
        <f t="shared" si="3"/>
        <v>-29.646464646464644</v>
      </c>
      <c r="I55" s="63">
        <f t="shared" si="4"/>
        <v>29.646464646464644</v>
      </c>
      <c r="J55" s="64">
        <f t="shared" si="5"/>
        <v>878.91286603407798</v>
      </c>
      <c r="K55" s="20">
        <v>167</v>
      </c>
      <c r="L55" s="64">
        <f t="shared" si="6"/>
        <v>-730.04040404040404</v>
      </c>
      <c r="M55" s="63">
        <f t="shared" si="7"/>
        <v>730.04040404040404</v>
      </c>
      <c r="N55" s="64">
        <f t="shared" si="8"/>
        <v>532958.99153147638</v>
      </c>
      <c r="O55" s="20">
        <v>8.0399999999999991</v>
      </c>
      <c r="P55" s="64">
        <f t="shared" si="9"/>
        <v>-2.0291919191919128</v>
      </c>
      <c r="Q55" s="63">
        <f t="shared" si="10"/>
        <v>2.0291919191919128</v>
      </c>
      <c r="R55" s="64">
        <f t="shared" si="11"/>
        <v>4.117619844913758</v>
      </c>
    </row>
    <row r="56" spans="1:18" x14ac:dyDescent="0.2">
      <c r="A56" s="21">
        <v>183</v>
      </c>
      <c r="B56" s="21">
        <v>2</v>
      </c>
      <c r="C56" s="20">
        <v>479</v>
      </c>
      <c r="D56" s="64">
        <f t="shared" si="0"/>
        <v>-2328.8333333333335</v>
      </c>
      <c r="E56" s="63">
        <f t="shared" si="1"/>
        <v>2328.8333333333335</v>
      </c>
      <c r="F56" s="64">
        <f t="shared" si="2"/>
        <v>5423464.694444445</v>
      </c>
      <c r="G56" s="20">
        <v>8</v>
      </c>
      <c r="H56" s="64">
        <f t="shared" si="3"/>
        <v>-28.646464646464644</v>
      </c>
      <c r="I56" s="63">
        <f t="shared" si="4"/>
        <v>28.646464646464644</v>
      </c>
      <c r="J56" s="64">
        <f t="shared" si="5"/>
        <v>820.61993674114865</v>
      </c>
      <c r="K56" s="20">
        <v>99</v>
      </c>
      <c r="L56" s="64">
        <f t="shared" si="6"/>
        <v>-798.04040404040404</v>
      </c>
      <c r="M56" s="63">
        <f t="shared" si="7"/>
        <v>798.04040404040404</v>
      </c>
      <c r="N56" s="64">
        <f t="shared" si="8"/>
        <v>636868.48648097133</v>
      </c>
      <c r="O56" s="20">
        <v>13.25</v>
      </c>
      <c r="P56" s="64">
        <f t="shared" si="9"/>
        <v>3.1808080808080881</v>
      </c>
      <c r="Q56" s="63">
        <f t="shared" si="10"/>
        <v>3.1808080808080881</v>
      </c>
      <c r="R56" s="64">
        <f t="shared" si="11"/>
        <v>10.117540046934032</v>
      </c>
    </row>
    <row r="57" spans="1:18" x14ac:dyDescent="0.2">
      <c r="A57" s="21">
        <v>184</v>
      </c>
      <c r="B57" s="21">
        <v>2</v>
      </c>
      <c r="C57" s="20">
        <v>467</v>
      </c>
      <c r="D57" s="64">
        <f t="shared" si="0"/>
        <v>-2340.8333333333335</v>
      </c>
      <c r="E57" s="63">
        <f t="shared" si="1"/>
        <v>2340.8333333333335</v>
      </c>
      <c r="F57" s="64">
        <f t="shared" si="2"/>
        <v>5479500.694444445</v>
      </c>
      <c r="G57" s="20">
        <v>9</v>
      </c>
      <c r="H57" s="64">
        <f t="shared" si="3"/>
        <v>-27.646464646464644</v>
      </c>
      <c r="I57" s="63">
        <f t="shared" si="4"/>
        <v>27.646464646464644</v>
      </c>
      <c r="J57" s="64">
        <f t="shared" si="5"/>
        <v>764.32700744821943</v>
      </c>
      <c r="K57" s="20">
        <v>97</v>
      </c>
      <c r="L57" s="64">
        <f t="shared" si="6"/>
        <v>-800.04040404040404</v>
      </c>
      <c r="M57" s="63">
        <f t="shared" si="7"/>
        <v>800.04040404040404</v>
      </c>
      <c r="N57" s="64">
        <f t="shared" si="8"/>
        <v>640064.64809713291</v>
      </c>
      <c r="O57" s="20">
        <v>13.19</v>
      </c>
      <c r="P57" s="64">
        <f t="shared" si="9"/>
        <v>3.1208080808080876</v>
      </c>
      <c r="Q57" s="63">
        <f t="shared" si="10"/>
        <v>3.1208080808080876</v>
      </c>
      <c r="R57" s="64">
        <f t="shared" si="11"/>
        <v>9.739443077237059</v>
      </c>
    </row>
    <row r="58" spans="1:18" x14ac:dyDescent="0.2">
      <c r="A58" s="21">
        <v>185</v>
      </c>
      <c r="B58" s="21">
        <v>2</v>
      </c>
      <c r="C58" s="20">
        <v>467</v>
      </c>
      <c r="D58" s="64">
        <f t="shared" si="0"/>
        <v>-2340.8333333333335</v>
      </c>
      <c r="E58" s="63">
        <f t="shared" si="1"/>
        <v>2340.8333333333335</v>
      </c>
      <c r="F58" s="64">
        <f t="shared" si="2"/>
        <v>5479500.694444445</v>
      </c>
      <c r="G58" s="20">
        <v>12</v>
      </c>
      <c r="H58" s="64">
        <f t="shared" si="3"/>
        <v>-24.646464646464644</v>
      </c>
      <c r="I58" s="63">
        <f t="shared" si="4"/>
        <v>24.646464646464644</v>
      </c>
      <c r="J58" s="64">
        <f t="shared" si="5"/>
        <v>607.44821956943156</v>
      </c>
      <c r="K58" s="20">
        <v>91</v>
      </c>
      <c r="L58" s="64">
        <f t="shared" si="6"/>
        <v>-806.04040404040404</v>
      </c>
      <c r="M58" s="63">
        <f t="shared" si="7"/>
        <v>806.04040404040404</v>
      </c>
      <c r="N58" s="64">
        <f t="shared" si="8"/>
        <v>649701.13294561778</v>
      </c>
      <c r="O58" s="20">
        <v>14.06</v>
      </c>
      <c r="P58" s="64">
        <f t="shared" si="9"/>
        <v>3.9908080808080886</v>
      </c>
      <c r="Q58" s="63">
        <f t="shared" si="10"/>
        <v>3.9908080808080886</v>
      </c>
      <c r="R58" s="64">
        <f t="shared" si="11"/>
        <v>15.926549137843139</v>
      </c>
    </row>
    <row r="59" spans="1:18" x14ac:dyDescent="0.2">
      <c r="A59" s="21">
        <v>143</v>
      </c>
      <c r="B59" s="21">
        <v>2</v>
      </c>
      <c r="C59" s="20">
        <v>466</v>
      </c>
      <c r="D59" s="64">
        <f t="shared" si="0"/>
        <v>-2341.8333333333335</v>
      </c>
      <c r="E59" s="63">
        <f t="shared" si="1"/>
        <v>2341.8333333333335</v>
      </c>
      <c r="F59" s="64">
        <f t="shared" si="2"/>
        <v>5484183.3611111119</v>
      </c>
      <c r="G59" s="20">
        <v>9</v>
      </c>
      <c r="H59" s="64">
        <f t="shared" si="3"/>
        <v>-27.646464646464644</v>
      </c>
      <c r="I59" s="63">
        <f t="shared" si="4"/>
        <v>27.646464646464644</v>
      </c>
      <c r="J59" s="64">
        <f t="shared" si="5"/>
        <v>764.32700744821943</v>
      </c>
      <c r="K59" s="20">
        <v>127</v>
      </c>
      <c r="L59" s="64">
        <f t="shared" si="6"/>
        <v>-770.04040404040404</v>
      </c>
      <c r="M59" s="63">
        <f t="shared" si="7"/>
        <v>770.04040404040404</v>
      </c>
      <c r="N59" s="64">
        <f t="shared" si="8"/>
        <v>592962.22385470872</v>
      </c>
      <c r="O59" s="20">
        <v>10.050000000000001</v>
      </c>
      <c r="P59" s="64">
        <f t="shared" si="9"/>
        <v>-1.9191919191911211E-2</v>
      </c>
      <c r="Q59" s="63">
        <f t="shared" si="10"/>
        <v>1.9191919191911211E-2</v>
      </c>
      <c r="R59" s="64">
        <f t="shared" si="11"/>
        <v>3.6832976226884985E-4</v>
      </c>
    </row>
    <row r="60" spans="1:18" x14ac:dyDescent="0.2">
      <c r="A60" s="21">
        <v>186</v>
      </c>
      <c r="B60" s="21">
        <v>2</v>
      </c>
      <c r="C60" s="20">
        <v>465</v>
      </c>
      <c r="D60" s="64">
        <f t="shared" si="0"/>
        <v>-2342.8333333333335</v>
      </c>
      <c r="E60" s="63">
        <f t="shared" si="1"/>
        <v>2342.8333333333335</v>
      </c>
      <c r="F60" s="64">
        <f t="shared" si="2"/>
        <v>5488868.0277777789</v>
      </c>
      <c r="G60" s="20">
        <v>8</v>
      </c>
      <c r="H60" s="64">
        <f t="shared" si="3"/>
        <v>-28.646464646464644</v>
      </c>
      <c r="I60" s="63">
        <f t="shared" si="4"/>
        <v>28.646464646464644</v>
      </c>
      <c r="J60" s="64">
        <f t="shared" si="5"/>
        <v>820.61993674114865</v>
      </c>
      <c r="K60" s="20">
        <v>152</v>
      </c>
      <c r="L60" s="64">
        <f t="shared" si="6"/>
        <v>-745.04040404040404</v>
      </c>
      <c r="M60" s="63">
        <f t="shared" si="7"/>
        <v>745.04040404040404</v>
      </c>
      <c r="N60" s="64">
        <f t="shared" si="8"/>
        <v>555085.20365268853</v>
      </c>
      <c r="O60" s="20">
        <v>8.3800000000000008</v>
      </c>
      <c r="P60" s="64">
        <f t="shared" si="9"/>
        <v>-1.6891919191919111</v>
      </c>
      <c r="Q60" s="63">
        <f t="shared" si="10"/>
        <v>1.6891919191919111</v>
      </c>
      <c r="R60" s="64">
        <f t="shared" si="11"/>
        <v>2.853369339863252</v>
      </c>
    </row>
    <row r="61" spans="1:18" x14ac:dyDescent="0.2">
      <c r="A61" s="21">
        <v>187</v>
      </c>
      <c r="B61" s="21">
        <v>2</v>
      </c>
      <c r="C61" s="20">
        <v>455</v>
      </c>
      <c r="D61" s="64">
        <f t="shared" si="0"/>
        <v>-2352.8333333333335</v>
      </c>
      <c r="E61" s="63">
        <f t="shared" si="1"/>
        <v>2352.8333333333335</v>
      </c>
      <c r="F61" s="64">
        <f t="shared" si="2"/>
        <v>5535824.694444445</v>
      </c>
      <c r="G61" s="20">
        <v>8</v>
      </c>
      <c r="H61" s="64">
        <f t="shared" si="3"/>
        <v>-28.646464646464644</v>
      </c>
      <c r="I61" s="63">
        <f t="shared" si="4"/>
        <v>28.646464646464644</v>
      </c>
      <c r="J61" s="64">
        <f t="shared" si="5"/>
        <v>820.61993674114865</v>
      </c>
      <c r="K61" s="20">
        <v>118</v>
      </c>
      <c r="L61" s="64">
        <f t="shared" si="6"/>
        <v>-779.04040404040404</v>
      </c>
      <c r="M61" s="63">
        <f t="shared" si="7"/>
        <v>779.04040404040404</v>
      </c>
      <c r="N61" s="64">
        <f t="shared" si="8"/>
        <v>606903.95112743601</v>
      </c>
      <c r="O61" s="20">
        <v>10.56</v>
      </c>
      <c r="P61" s="64">
        <f t="shared" si="9"/>
        <v>0.49080808080808858</v>
      </c>
      <c r="Q61" s="63">
        <f t="shared" si="10"/>
        <v>0.49080808080808858</v>
      </c>
      <c r="R61" s="64">
        <f t="shared" si="11"/>
        <v>0.24089257218651922</v>
      </c>
    </row>
    <row r="62" spans="1:18" x14ac:dyDescent="0.2">
      <c r="A62" s="21">
        <v>43</v>
      </c>
      <c r="B62" s="21">
        <v>2</v>
      </c>
      <c r="C62" s="20">
        <v>440</v>
      </c>
      <c r="D62" s="64">
        <f t="shared" si="0"/>
        <v>-2367.8333333333335</v>
      </c>
      <c r="E62" s="63">
        <f t="shared" si="1"/>
        <v>2367.8333333333335</v>
      </c>
      <c r="F62" s="64">
        <f t="shared" si="2"/>
        <v>5606634.694444445</v>
      </c>
      <c r="G62" s="20">
        <v>8</v>
      </c>
      <c r="H62" s="64">
        <f t="shared" si="3"/>
        <v>-28.646464646464644</v>
      </c>
      <c r="I62" s="63">
        <f t="shared" si="4"/>
        <v>28.646464646464644</v>
      </c>
      <c r="J62" s="64">
        <f t="shared" si="5"/>
        <v>820.61993674114865</v>
      </c>
      <c r="K62" s="20">
        <v>102</v>
      </c>
      <c r="L62" s="64">
        <f t="shared" si="6"/>
        <v>-795.04040404040404</v>
      </c>
      <c r="M62" s="63">
        <f t="shared" si="7"/>
        <v>795.04040404040404</v>
      </c>
      <c r="N62" s="64">
        <f t="shared" si="8"/>
        <v>632089.2440567289</v>
      </c>
      <c r="O62" s="20">
        <v>11.81</v>
      </c>
      <c r="P62" s="64">
        <f t="shared" si="9"/>
        <v>1.7408080808080886</v>
      </c>
      <c r="Q62" s="63">
        <f t="shared" si="10"/>
        <v>1.7408080808080886</v>
      </c>
      <c r="R62" s="64">
        <f t="shared" si="11"/>
        <v>3.0304127742067406</v>
      </c>
    </row>
    <row r="63" spans="1:18" x14ac:dyDescent="0.2">
      <c r="A63" s="21">
        <v>44</v>
      </c>
      <c r="B63" s="21">
        <v>2</v>
      </c>
      <c r="C63" s="20">
        <v>433</v>
      </c>
      <c r="D63" s="64">
        <f t="shared" si="0"/>
        <v>-2374.8333333333335</v>
      </c>
      <c r="E63" s="63">
        <f t="shared" si="1"/>
        <v>2374.8333333333335</v>
      </c>
      <c r="F63" s="64">
        <f t="shared" si="2"/>
        <v>5639833.3611111119</v>
      </c>
      <c r="G63" s="20">
        <v>7</v>
      </c>
      <c r="H63" s="64">
        <f t="shared" si="3"/>
        <v>-29.646464646464644</v>
      </c>
      <c r="I63" s="63">
        <f t="shared" si="4"/>
        <v>29.646464646464644</v>
      </c>
      <c r="J63" s="64">
        <f t="shared" si="5"/>
        <v>878.91286603407798</v>
      </c>
      <c r="K63" s="20">
        <v>87</v>
      </c>
      <c r="L63" s="64">
        <f t="shared" si="6"/>
        <v>-810.04040404040404</v>
      </c>
      <c r="M63" s="63">
        <f t="shared" si="7"/>
        <v>810.04040404040404</v>
      </c>
      <c r="N63" s="64">
        <f t="shared" si="8"/>
        <v>656165.45617794106</v>
      </c>
      <c r="O63" s="20">
        <v>13.63</v>
      </c>
      <c r="P63" s="64">
        <f t="shared" si="9"/>
        <v>3.5608080808080889</v>
      </c>
      <c r="Q63" s="63">
        <f t="shared" si="10"/>
        <v>3.5608080808080889</v>
      </c>
      <c r="R63" s="64">
        <f t="shared" si="11"/>
        <v>12.679354188348185</v>
      </c>
    </row>
    <row r="64" spans="1:18" x14ac:dyDescent="0.2">
      <c r="A64" s="21">
        <v>45</v>
      </c>
      <c r="B64" s="21">
        <v>2</v>
      </c>
      <c r="C64" s="20">
        <v>429</v>
      </c>
      <c r="D64" s="64">
        <f t="shared" si="0"/>
        <v>-2378.8333333333335</v>
      </c>
      <c r="E64" s="63">
        <f t="shared" si="1"/>
        <v>2378.8333333333335</v>
      </c>
      <c r="F64" s="64">
        <f t="shared" si="2"/>
        <v>5658848.0277777789</v>
      </c>
      <c r="G64" s="20">
        <v>5</v>
      </c>
      <c r="H64" s="64">
        <f t="shared" si="3"/>
        <v>-31.646464646464644</v>
      </c>
      <c r="I64" s="63">
        <f t="shared" si="4"/>
        <v>31.646464646464644</v>
      </c>
      <c r="J64" s="64">
        <f t="shared" si="5"/>
        <v>1001.4987246199365</v>
      </c>
      <c r="K64" s="20">
        <v>149</v>
      </c>
      <c r="L64" s="64">
        <f t="shared" si="6"/>
        <v>-748.04040404040404</v>
      </c>
      <c r="M64" s="63">
        <f t="shared" si="7"/>
        <v>748.04040404040404</v>
      </c>
      <c r="N64" s="64">
        <f t="shared" si="8"/>
        <v>559564.44607693097</v>
      </c>
      <c r="O64" s="20">
        <v>7.89</v>
      </c>
      <c r="P64" s="64">
        <f t="shared" si="9"/>
        <v>-2.1791919191919122</v>
      </c>
      <c r="Q64" s="63">
        <f t="shared" si="10"/>
        <v>2.1791919191919122</v>
      </c>
      <c r="R64" s="64">
        <f t="shared" si="11"/>
        <v>4.74887742067133</v>
      </c>
    </row>
    <row r="65" spans="1:18" x14ac:dyDescent="0.2">
      <c r="A65" s="21">
        <v>31</v>
      </c>
      <c r="B65" s="21">
        <v>2</v>
      </c>
      <c r="C65" s="20">
        <v>408</v>
      </c>
      <c r="D65" s="64">
        <f t="shared" si="0"/>
        <v>-2399.8333333333335</v>
      </c>
      <c r="E65" s="63">
        <f t="shared" si="1"/>
        <v>2399.8333333333335</v>
      </c>
      <c r="F65" s="64">
        <f t="shared" si="2"/>
        <v>5759200.0277777789</v>
      </c>
      <c r="G65" s="20">
        <v>7</v>
      </c>
      <c r="H65" s="64">
        <f t="shared" si="3"/>
        <v>-29.646464646464644</v>
      </c>
      <c r="I65" s="63">
        <f t="shared" si="4"/>
        <v>29.646464646464644</v>
      </c>
      <c r="J65" s="64">
        <f t="shared" si="5"/>
        <v>878.91286603407798</v>
      </c>
      <c r="K65" s="20">
        <v>87</v>
      </c>
      <c r="L65" s="64">
        <f t="shared" si="6"/>
        <v>-810.04040404040404</v>
      </c>
      <c r="M65" s="63">
        <f t="shared" si="7"/>
        <v>810.04040404040404</v>
      </c>
      <c r="N65" s="64">
        <f t="shared" si="8"/>
        <v>656165.45617794106</v>
      </c>
      <c r="O65" s="20">
        <v>12.85</v>
      </c>
      <c r="P65" s="64">
        <f t="shared" si="9"/>
        <v>2.7808080808080877</v>
      </c>
      <c r="Q65" s="63">
        <f t="shared" si="10"/>
        <v>2.7808080808080877</v>
      </c>
      <c r="R65" s="64">
        <f t="shared" si="11"/>
        <v>7.7328935822875602</v>
      </c>
    </row>
    <row r="66" spans="1:18" x14ac:dyDescent="0.2">
      <c r="A66" s="21">
        <v>150</v>
      </c>
      <c r="B66" s="21">
        <v>2</v>
      </c>
      <c r="C66" s="20">
        <v>403</v>
      </c>
      <c r="D66" s="64">
        <f t="shared" si="0"/>
        <v>-2404.8333333333335</v>
      </c>
      <c r="E66" s="63">
        <f t="shared" si="1"/>
        <v>2404.8333333333335</v>
      </c>
      <c r="F66" s="64">
        <f t="shared" si="2"/>
        <v>5783223.3611111119</v>
      </c>
      <c r="G66" s="20">
        <v>7</v>
      </c>
      <c r="H66" s="64">
        <f t="shared" si="3"/>
        <v>-29.646464646464644</v>
      </c>
      <c r="I66" s="63">
        <f t="shared" si="4"/>
        <v>29.646464646464644</v>
      </c>
      <c r="J66" s="64">
        <f t="shared" si="5"/>
        <v>878.91286603407798</v>
      </c>
      <c r="K66" s="20">
        <v>84</v>
      </c>
      <c r="L66" s="64">
        <f t="shared" si="6"/>
        <v>-813.04040404040404</v>
      </c>
      <c r="M66" s="63">
        <f t="shared" si="7"/>
        <v>813.04040404040404</v>
      </c>
      <c r="N66" s="64">
        <f t="shared" si="8"/>
        <v>661034.69860218349</v>
      </c>
      <c r="O66" s="20">
        <v>13.14</v>
      </c>
      <c r="P66" s="64">
        <f t="shared" si="9"/>
        <v>3.0708080808080886</v>
      </c>
      <c r="Q66" s="63">
        <f t="shared" si="10"/>
        <v>3.0708080808080886</v>
      </c>
      <c r="R66" s="64">
        <f t="shared" si="11"/>
        <v>9.4298622691562564</v>
      </c>
    </row>
    <row r="67" spans="1:18" x14ac:dyDescent="0.2">
      <c r="A67" s="21">
        <v>153</v>
      </c>
      <c r="B67" s="21">
        <v>2</v>
      </c>
      <c r="C67" s="20">
        <v>401</v>
      </c>
      <c r="D67" s="64">
        <f t="shared" si="0"/>
        <v>-2406.8333333333335</v>
      </c>
      <c r="E67" s="63">
        <f t="shared" si="1"/>
        <v>2406.8333333333335</v>
      </c>
      <c r="F67" s="64">
        <f t="shared" si="2"/>
        <v>5792846.694444445</v>
      </c>
      <c r="G67" s="20">
        <v>7</v>
      </c>
      <c r="H67" s="64">
        <f t="shared" si="3"/>
        <v>-29.646464646464644</v>
      </c>
      <c r="I67" s="63">
        <f t="shared" si="4"/>
        <v>29.646464646464644</v>
      </c>
      <c r="J67" s="64">
        <f t="shared" si="5"/>
        <v>878.91286603407798</v>
      </c>
      <c r="K67" s="20">
        <v>158</v>
      </c>
      <c r="L67" s="64">
        <f t="shared" si="6"/>
        <v>-739.04040404040404</v>
      </c>
      <c r="M67" s="63">
        <f t="shared" si="7"/>
        <v>739.04040404040404</v>
      </c>
      <c r="N67" s="64">
        <f t="shared" si="8"/>
        <v>546180.71880420367</v>
      </c>
      <c r="O67" s="20">
        <v>6.95</v>
      </c>
      <c r="P67" s="64">
        <f t="shared" si="9"/>
        <v>-3.1191919191919117</v>
      </c>
      <c r="Q67" s="63">
        <f t="shared" si="10"/>
        <v>3.1191919191919117</v>
      </c>
      <c r="R67" s="64">
        <f t="shared" si="11"/>
        <v>9.7293582287521225</v>
      </c>
    </row>
    <row r="68" spans="1:18" x14ac:dyDescent="0.2">
      <c r="A68" s="21">
        <v>155</v>
      </c>
      <c r="B68" s="21">
        <v>2</v>
      </c>
      <c r="C68" s="20">
        <v>399</v>
      </c>
      <c r="D68" s="64">
        <f t="shared" si="0"/>
        <v>-2408.8333333333335</v>
      </c>
      <c r="E68" s="63">
        <f t="shared" si="1"/>
        <v>2408.8333333333335</v>
      </c>
      <c r="F68" s="64">
        <f t="shared" si="2"/>
        <v>5802478.0277777789</v>
      </c>
      <c r="G68" s="20">
        <v>5</v>
      </c>
      <c r="H68" s="64">
        <f t="shared" si="3"/>
        <v>-31.646464646464644</v>
      </c>
      <c r="I68" s="63">
        <f t="shared" si="4"/>
        <v>31.646464646464644</v>
      </c>
      <c r="J68" s="64">
        <f t="shared" si="5"/>
        <v>1001.4987246199365</v>
      </c>
      <c r="K68" s="20">
        <v>173</v>
      </c>
      <c r="L68" s="64">
        <f t="shared" si="6"/>
        <v>-724.04040404040404</v>
      </c>
      <c r="M68" s="63">
        <f t="shared" si="7"/>
        <v>724.04040404040404</v>
      </c>
      <c r="N68" s="64">
        <f t="shared" si="8"/>
        <v>524234.50668299152</v>
      </c>
      <c r="O68" s="20">
        <v>6.32</v>
      </c>
      <c r="P68" s="64">
        <f t="shared" si="9"/>
        <v>-3.7491919191919116</v>
      </c>
      <c r="Q68" s="63">
        <f t="shared" si="10"/>
        <v>3.7491919191919116</v>
      </c>
      <c r="R68" s="64">
        <f t="shared" si="11"/>
        <v>14.056440046933929</v>
      </c>
    </row>
    <row r="69" spans="1:18" x14ac:dyDescent="0.2">
      <c r="A69" s="21">
        <v>38</v>
      </c>
      <c r="B69" s="21">
        <v>2</v>
      </c>
      <c r="C69" s="20">
        <v>398</v>
      </c>
      <c r="D69" s="64">
        <f t="shared" si="0"/>
        <v>-2409.8333333333335</v>
      </c>
      <c r="E69" s="63">
        <f t="shared" si="1"/>
        <v>2409.8333333333335</v>
      </c>
      <c r="F69" s="64">
        <f t="shared" si="2"/>
        <v>5807296.694444445</v>
      </c>
      <c r="G69" s="20">
        <v>4</v>
      </c>
      <c r="H69" s="64">
        <f t="shared" si="3"/>
        <v>-32.646464646464644</v>
      </c>
      <c r="I69" s="63">
        <f t="shared" si="4"/>
        <v>32.646464646464644</v>
      </c>
      <c r="J69" s="64">
        <f t="shared" si="5"/>
        <v>1065.7916539128657</v>
      </c>
      <c r="K69" s="20">
        <v>108</v>
      </c>
      <c r="L69" s="64">
        <f t="shared" si="6"/>
        <v>-789.04040404040404</v>
      </c>
      <c r="M69" s="63">
        <f t="shared" si="7"/>
        <v>789.04040404040404</v>
      </c>
      <c r="N69" s="64">
        <f t="shared" si="8"/>
        <v>622584.75920824404</v>
      </c>
      <c r="O69" s="20">
        <v>10.1</v>
      </c>
      <c r="P69" s="64">
        <f t="shared" si="9"/>
        <v>3.0808080808087723E-2</v>
      </c>
      <c r="Q69" s="63">
        <f t="shared" si="10"/>
        <v>3.0808080808087723E-2</v>
      </c>
      <c r="R69" s="64">
        <f t="shared" si="11"/>
        <v>9.4913784307766309E-4</v>
      </c>
    </row>
    <row r="70" spans="1:18" x14ac:dyDescent="0.2">
      <c r="A70" s="21">
        <v>188</v>
      </c>
      <c r="B70" s="21">
        <v>2</v>
      </c>
      <c r="C70" s="20">
        <v>398</v>
      </c>
      <c r="D70" s="64">
        <f t="shared" ref="D70:D133" si="12">C70-$C$212</f>
        <v>-2409.8333333333335</v>
      </c>
      <c r="E70" s="63">
        <f t="shared" ref="E70:E133" si="13">ABS(D70)</f>
        <v>2409.8333333333335</v>
      </c>
      <c r="F70" s="64">
        <f t="shared" ref="F70:F133" si="14">POWER(E70,2)</f>
        <v>5807296.694444445</v>
      </c>
      <c r="G70" s="20">
        <v>4</v>
      </c>
      <c r="H70" s="64">
        <f t="shared" ref="H70:H133" si="15">G70-$C$213</f>
        <v>-32.646464646464644</v>
      </c>
      <c r="I70" s="63">
        <f t="shared" ref="I70:I133" si="16">ABS(H70)</f>
        <v>32.646464646464644</v>
      </c>
      <c r="J70" s="64">
        <f t="shared" ref="J70:J133" si="17">POWER(I70,2)</f>
        <v>1065.7916539128657</v>
      </c>
      <c r="K70" s="20">
        <v>79</v>
      </c>
      <c r="L70" s="64">
        <f t="shared" ref="L70:L133" si="18">K70-$C$214</f>
        <v>-818.04040404040404</v>
      </c>
      <c r="M70" s="63">
        <f t="shared" ref="M70:M133" si="19">ABS(L70)</f>
        <v>818.04040404040404</v>
      </c>
      <c r="N70" s="64">
        <f t="shared" ref="N70:N133" si="20">POWER(M70,2)</f>
        <v>669190.1026425875</v>
      </c>
      <c r="O70" s="20">
        <v>13.8</v>
      </c>
      <c r="P70" s="64">
        <f t="shared" ref="P70:P133" si="21">O70-$C$215</f>
        <v>3.7308080808080888</v>
      </c>
      <c r="Q70" s="63">
        <f t="shared" ref="Q70:Q133" si="22">ABS(P70)</f>
        <v>3.7308080808080888</v>
      </c>
      <c r="R70" s="64">
        <f t="shared" ref="R70:R133" si="23">POWER(Q70,2)</f>
        <v>13.918928935822935</v>
      </c>
    </row>
    <row r="71" spans="1:18" x14ac:dyDescent="0.2">
      <c r="A71" s="21">
        <v>189</v>
      </c>
      <c r="B71" s="21">
        <v>2</v>
      </c>
      <c r="C71" s="20">
        <v>397</v>
      </c>
      <c r="D71" s="64">
        <f t="shared" si="12"/>
        <v>-2410.8333333333335</v>
      </c>
      <c r="E71" s="63">
        <f t="shared" si="13"/>
        <v>2410.8333333333335</v>
      </c>
      <c r="F71" s="64">
        <f t="shared" si="14"/>
        <v>5812117.3611111119</v>
      </c>
      <c r="G71" s="20">
        <v>6</v>
      </c>
      <c r="H71" s="64">
        <f t="shared" si="15"/>
        <v>-30.646464646464644</v>
      </c>
      <c r="I71" s="63">
        <f t="shared" si="16"/>
        <v>30.646464646464644</v>
      </c>
      <c r="J71" s="64">
        <f t="shared" si="17"/>
        <v>939.20579532700731</v>
      </c>
      <c r="K71" s="20">
        <v>75</v>
      </c>
      <c r="L71" s="64">
        <f t="shared" si="18"/>
        <v>-822.04040404040404</v>
      </c>
      <c r="M71" s="63">
        <f t="shared" si="19"/>
        <v>822.04040404040404</v>
      </c>
      <c r="N71" s="64">
        <f t="shared" si="20"/>
        <v>675750.42587491078</v>
      </c>
      <c r="O71" s="20">
        <v>14.5</v>
      </c>
      <c r="P71" s="64">
        <f t="shared" si="21"/>
        <v>4.4308080808080881</v>
      </c>
      <c r="Q71" s="63">
        <f t="shared" si="22"/>
        <v>4.4308080808080881</v>
      </c>
      <c r="R71" s="64">
        <f t="shared" si="23"/>
        <v>19.632060248954254</v>
      </c>
    </row>
    <row r="72" spans="1:18" x14ac:dyDescent="0.2">
      <c r="A72" s="21">
        <v>190</v>
      </c>
      <c r="B72" s="21">
        <v>2</v>
      </c>
      <c r="C72" s="20">
        <v>397</v>
      </c>
      <c r="D72" s="64">
        <f t="shared" si="12"/>
        <v>-2410.8333333333335</v>
      </c>
      <c r="E72" s="63">
        <f t="shared" si="13"/>
        <v>2410.8333333333335</v>
      </c>
      <c r="F72" s="64">
        <f t="shared" si="14"/>
        <v>5812117.3611111119</v>
      </c>
      <c r="G72" s="20">
        <v>4</v>
      </c>
      <c r="H72" s="64">
        <f t="shared" si="15"/>
        <v>-32.646464646464644</v>
      </c>
      <c r="I72" s="63">
        <f t="shared" si="16"/>
        <v>32.646464646464644</v>
      </c>
      <c r="J72" s="64">
        <f t="shared" si="17"/>
        <v>1065.7916539128657</v>
      </c>
      <c r="K72" s="20">
        <v>127</v>
      </c>
      <c r="L72" s="64">
        <f t="shared" si="18"/>
        <v>-770.04040404040404</v>
      </c>
      <c r="M72" s="63">
        <f t="shared" si="19"/>
        <v>770.04040404040404</v>
      </c>
      <c r="N72" s="64">
        <f t="shared" si="20"/>
        <v>592962.22385470872</v>
      </c>
      <c r="O72" s="20">
        <v>8.56</v>
      </c>
      <c r="P72" s="64">
        <f t="shared" si="21"/>
        <v>-1.5091919191919114</v>
      </c>
      <c r="Q72" s="63">
        <f t="shared" si="22"/>
        <v>1.5091919191919114</v>
      </c>
      <c r="R72" s="64">
        <f t="shared" si="23"/>
        <v>2.2776602489541649</v>
      </c>
    </row>
    <row r="73" spans="1:18" x14ac:dyDescent="0.2">
      <c r="A73" s="21">
        <v>139</v>
      </c>
      <c r="B73" s="21">
        <v>2</v>
      </c>
      <c r="C73" s="20">
        <v>393</v>
      </c>
      <c r="D73" s="64">
        <f t="shared" si="12"/>
        <v>-2414.8333333333335</v>
      </c>
      <c r="E73" s="63">
        <f t="shared" si="13"/>
        <v>2414.8333333333335</v>
      </c>
      <c r="F73" s="64">
        <f t="shared" si="14"/>
        <v>5831420.0277777789</v>
      </c>
      <c r="G73" s="20">
        <v>4</v>
      </c>
      <c r="H73" s="64">
        <f t="shared" si="15"/>
        <v>-32.646464646464644</v>
      </c>
      <c r="I73" s="63">
        <f t="shared" si="16"/>
        <v>32.646464646464644</v>
      </c>
      <c r="J73" s="64">
        <f t="shared" si="17"/>
        <v>1065.7916539128657</v>
      </c>
      <c r="K73" s="20">
        <v>75</v>
      </c>
      <c r="L73" s="64">
        <f t="shared" si="18"/>
        <v>-822.04040404040404</v>
      </c>
      <c r="M73" s="63">
        <f t="shared" si="19"/>
        <v>822.04040404040404</v>
      </c>
      <c r="N73" s="64">
        <f t="shared" si="20"/>
        <v>675750.42587491078</v>
      </c>
      <c r="O73" s="20">
        <v>14.35</v>
      </c>
      <c r="P73" s="64">
        <f t="shared" si="21"/>
        <v>4.2808080808080877</v>
      </c>
      <c r="Q73" s="63">
        <f t="shared" si="22"/>
        <v>4.2808080808080877</v>
      </c>
      <c r="R73" s="64">
        <f t="shared" si="23"/>
        <v>18.325317824711824</v>
      </c>
    </row>
    <row r="74" spans="1:18" x14ac:dyDescent="0.2">
      <c r="A74" s="21">
        <v>34</v>
      </c>
      <c r="B74" s="21">
        <v>2</v>
      </c>
      <c r="C74" s="20">
        <v>387</v>
      </c>
      <c r="D74" s="64">
        <f t="shared" si="12"/>
        <v>-2420.8333333333335</v>
      </c>
      <c r="E74" s="63">
        <f t="shared" si="13"/>
        <v>2420.8333333333335</v>
      </c>
      <c r="F74" s="64">
        <f t="shared" si="14"/>
        <v>5860434.0277777789</v>
      </c>
      <c r="G74" s="20">
        <v>4</v>
      </c>
      <c r="H74" s="64">
        <f t="shared" si="15"/>
        <v>-32.646464646464644</v>
      </c>
      <c r="I74" s="63">
        <f t="shared" si="16"/>
        <v>32.646464646464644</v>
      </c>
      <c r="J74" s="64">
        <f t="shared" si="17"/>
        <v>1065.7916539128657</v>
      </c>
      <c r="K74" s="20">
        <v>76</v>
      </c>
      <c r="L74" s="64">
        <f t="shared" si="18"/>
        <v>-821.04040404040404</v>
      </c>
      <c r="M74" s="63">
        <f t="shared" si="19"/>
        <v>821.04040404040404</v>
      </c>
      <c r="N74" s="64">
        <f t="shared" si="20"/>
        <v>674107.34506682993</v>
      </c>
      <c r="O74" s="20">
        <v>13.95</v>
      </c>
      <c r="P74" s="64">
        <f t="shared" si="21"/>
        <v>3.8808080808080874</v>
      </c>
      <c r="Q74" s="63">
        <f t="shared" si="22"/>
        <v>3.8808080808080874</v>
      </c>
      <c r="R74" s="64">
        <f t="shared" si="23"/>
        <v>15.060671360065351</v>
      </c>
    </row>
    <row r="75" spans="1:18" x14ac:dyDescent="0.2">
      <c r="A75" s="21">
        <v>142</v>
      </c>
      <c r="B75" s="21">
        <v>2</v>
      </c>
      <c r="C75" s="20">
        <v>382</v>
      </c>
      <c r="D75" s="64">
        <f t="shared" si="12"/>
        <v>-2425.8333333333335</v>
      </c>
      <c r="E75" s="63">
        <f t="shared" si="13"/>
        <v>2425.8333333333335</v>
      </c>
      <c r="F75" s="64">
        <f t="shared" si="14"/>
        <v>5884667.3611111119</v>
      </c>
      <c r="G75" s="20">
        <v>8</v>
      </c>
      <c r="H75" s="64">
        <f t="shared" si="15"/>
        <v>-28.646464646464644</v>
      </c>
      <c r="I75" s="63">
        <f t="shared" si="16"/>
        <v>28.646464646464644</v>
      </c>
      <c r="J75" s="64">
        <f t="shared" si="17"/>
        <v>820.61993674114865</v>
      </c>
      <c r="K75" s="20">
        <v>113</v>
      </c>
      <c r="L75" s="64">
        <f t="shared" si="18"/>
        <v>-784.04040404040404</v>
      </c>
      <c r="M75" s="63">
        <f t="shared" si="19"/>
        <v>784.04040404040404</v>
      </c>
      <c r="N75" s="64">
        <f t="shared" si="20"/>
        <v>614719.35516784003</v>
      </c>
      <c r="O75" s="20">
        <v>9.26</v>
      </c>
      <c r="P75" s="64">
        <f t="shared" si="21"/>
        <v>-0.80919191919191213</v>
      </c>
      <c r="Q75" s="63">
        <f t="shared" si="22"/>
        <v>0.80919191919191213</v>
      </c>
      <c r="R75" s="64">
        <f t="shared" si="23"/>
        <v>0.65479156208549005</v>
      </c>
    </row>
    <row r="76" spans="1:18" x14ac:dyDescent="0.2">
      <c r="A76" s="21">
        <v>47</v>
      </c>
      <c r="B76" s="21">
        <v>2</v>
      </c>
      <c r="C76" s="20">
        <v>381</v>
      </c>
      <c r="D76" s="64">
        <f t="shared" si="12"/>
        <v>-2426.8333333333335</v>
      </c>
      <c r="E76" s="63">
        <f t="shared" si="13"/>
        <v>2426.8333333333335</v>
      </c>
      <c r="F76" s="64">
        <f t="shared" si="14"/>
        <v>5889520.0277777789</v>
      </c>
      <c r="G76" s="20">
        <v>4</v>
      </c>
      <c r="H76" s="64">
        <f t="shared" si="15"/>
        <v>-32.646464646464644</v>
      </c>
      <c r="I76" s="63">
        <f t="shared" si="16"/>
        <v>32.646464646464644</v>
      </c>
      <c r="J76" s="64">
        <f t="shared" si="17"/>
        <v>1065.7916539128657</v>
      </c>
      <c r="K76" s="20">
        <v>124</v>
      </c>
      <c r="L76" s="64">
        <f t="shared" si="18"/>
        <v>-773.04040404040404</v>
      </c>
      <c r="M76" s="63">
        <f t="shared" si="19"/>
        <v>773.04040404040404</v>
      </c>
      <c r="N76" s="64">
        <f t="shared" si="20"/>
        <v>597591.46627895115</v>
      </c>
      <c r="O76" s="20">
        <v>8.42</v>
      </c>
      <c r="P76" s="64">
        <f t="shared" si="21"/>
        <v>-1.649191919191912</v>
      </c>
      <c r="Q76" s="63">
        <f t="shared" si="22"/>
        <v>1.649191919191912</v>
      </c>
      <c r="R76" s="64">
        <f t="shared" si="23"/>
        <v>2.719833986327902</v>
      </c>
    </row>
    <row r="77" spans="1:18" x14ac:dyDescent="0.2">
      <c r="A77" s="21">
        <v>37</v>
      </c>
      <c r="B77" s="21">
        <v>2</v>
      </c>
      <c r="C77" s="20">
        <v>378</v>
      </c>
      <c r="D77" s="64">
        <f t="shared" si="12"/>
        <v>-2429.8333333333335</v>
      </c>
      <c r="E77" s="63">
        <f t="shared" si="13"/>
        <v>2429.8333333333335</v>
      </c>
      <c r="F77" s="64">
        <f t="shared" si="14"/>
        <v>5904090.0277777789</v>
      </c>
      <c r="G77" s="20">
        <v>7</v>
      </c>
      <c r="H77" s="64">
        <f t="shared" si="15"/>
        <v>-29.646464646464644</v>
      </c>
      <c r="I77" s="63">
        <f t="shared" si="16"/>
        <v>29.646464646464644</v>
      </c>
      <c r="J77" s="64">
        <f t="shared" si="17"/>
        <v>878.91286603407798</v>
      </c>
      <c r="K77" s="20">
        <v>156</v>
      </c>
      <c r="L77" s="64">
        <f t="shared" si="18"/>
        <v>-741.04040404040404</v>
      </c>
      <c r="M77" s="63">
        <f t="shared" si="19"/>
        <v>741.04040404040404</v>
      </c>
      <c r="N77" s="64">
        <f t="shared" si="20"/>
        <v>549140.88042036525</v>
      </c>
      <c r="O77" s="20">
        <v>6.64</v>
      </c>
      <c r="P77" s="64">
        <f t="shared" si="21"/>
        <v>-3.4291919191919122</v>
      </c>
      <c r="Q77" s="63">
        <f t="shared" si="22"/>
        <v>3.4291919191919122</v>
      </c>
      <c r="R77" s="64">
        <f t="shared" si="23"/>
        <v>11.759357218651111</v>
      </c>
    </row>
    <row r="78" spans="1:18" x14ac:dyDescent="0.2">
      <c r="A78" s="21">
        <v>79</v>
      </c>
      <c r="B78" s="21">
        <v>2</v>
      </c>
      <c r="C78" s="20">
        <v>368</v>
      </c>
      <c r="D78" s="64">
        <f t="shared" si="12"/>
        <v>-2439.8333333333335</v>
      </c>
      <c r="E78" s="63">
        <f t="shared" si="13"/>
        <v>2439.8333333333335</v>
      </c>
      <c r="F78" s="64">
        <f t="shared" si="14"/>
        <v>5952786.694444445</v>
      </c>
      <c r="G78" s="20">
        <v>6</v>
      </c>
      <c r="H78" s="64">
        <f t="shared" si="15"/>
        <v>-30.646464646464644</v>
      </c>
      <c r="I78" s="63">
        <f t="shared" si="16"/>
        <v>30.646464646464644</v>
      </c>
      <c r="J78" s="64">
        <f t="shared" si="17"/>
        <v>939.20579532700731</v>
      </c>
      <c r="K78" s="20">
        <v>138</v>
      </c>
      <c r="L78" s="64">
        <f t="shared" si="18"/>
        <v>-759.04040404040404</v>
      </c>
      <c r="M78" s="63">
        <f t="shared" si="19"/>
        <v>759.04040404040404</v>
      </c>
      <c r="N78" s="64">
        <f t="shared" si="20"/>
        <v>576142.33496581984</v>
      </c>
      <c r="O78" s="20">
        <v>7.31</v>
      </c>
      <c r="P78" s="64">
        <f t="shared" si="21"/>
        <v>-2.7591919191919123</v>
      </c>
      <c r="Q78" s="63">
        <f t="shared" si="22"/>
        <v>2.7591919191919123</v>
      </c>
      <c r="R78" s="64">
        <f t="shared" si="23"/>
        <v>7.6131400469339487</v>
      </c>
    </row>
    <row r="79" spans="1:18" x14ac:dyDescent="0.2">
      <c r="A79" s="21">
        <v>66</v>
      </c>
      <c r="B79" s="21">
        <v>2</v>
      </c>
      <c r="C79" s="20">
        <v>356</v>
      </c>
      <c r="D79" s="64">
        <f t="shared" si="12"/>
        <v>-2451.8333333333335</v>
      </c>
      <c r="E79" s="63">
        <f t="shared" si="13"/>
        <v>2451.8333333333335</v>
      </c>
      <c r="F79" s="64">
        <f t="shared" si="14"/>
        <v>6011486.694444445</v>
      </c>
      <c r="G79" s="20">
        <v>5</v>
      </c>
      <c r="H79" s="64">
        <f t="shared" si="15"/>
        <v>-31.646464646464644</v>
      </c>
      <c r="I79" s="63">
        <f t="shared" si="16"/>
        <v>31.646464646464644</v>
      </c>
      <c r="J79" s="64">
        <f t="shared" si="17"/>
        <v>1001.4987246199365</v>
      </c>
      <c r="K79" s="20">
        <v>111</v>
      </c>
      <c r="L79" s="64">
        <f t="shared" si="18"/>
        <v>-786.04040404040404</v>
      </c>
      <c r="M79" s="63">
        <f t="shared" si="19"/>
        <v>786.04040404040404</v>
      </c>
      <c r="N79" s="64">
        <f t="shared" si="20"/>
        <v>617859.51678400161</v>
      </c>
      <c r="O79" s="20">
        <v>8.7899999999999991</v>
      </c>
      <c r="P79" s="64">
        <f t="shared" si="21"/>
        <v>-1.2791919191919128</v>
      </c>
      <c r="Q79" s="63">
        <f t="shared" si="22"/>
        <v>1.2791919191919128</v>
      </c>
      <c r="R79" s="64">
        <f t="shared" si="23"/>
        <v>1.636331966125889</v>
      </c>
    </row>
    <row r="80" spans="1:18" x14ac:dyDescent="0.2">
      <c r="A80" s="21">
        <v>160</v>
      </c>
      <c r="B80" s="21">
        <v>2</v>
      </c>
      <c r="C80" s="20">
        <v>356</v>
      </c>
      <c r="D80" s="64">
        <f t="shared" si="12"/>
        <v>-2451.8333333333335</v>
      </c>
      <c r="E80" s="63">
        <f t="shared" si="13"/>
        <v>2451.8333333333335</v>
      </c>
      <c r="F80" s="64">
        <f t="shared" si="14"/>
        <v>6011486.694444445</v>
      </c>
      <c r="G80" s="20">
        <v>3</v>
      </c>
      <c r="H80" s="64">
        <f t="shared" si="15"/>
        <v>-33.646464646464644</v>
      </c>
      <c r="I80" s="63">
        <f t="shared" si="16"/>
        <v>33.646464646464644</v>
      </c>
      <c r="J80" s="64">
        <f t="shared" si="17"/>
        <v>1132.0845832057951</v>
      </c>
      <c r="K80" s="20">
        <v>63</v>
      </c>
      <c r="L80" s="64">
        <f t="shared" si="18"/>
        <v>-834.04040404040404</v>
      </c>
      <c r="M80" s="63">
        <f t="shared" si="19"/>
        <v>834.04040404040404</v>
      </c>
      <c r="N80" s="64">
        <f t="shared" si="20"/>
        <v>695623.39557188039</v>
      </c>
      <c r="O80" s="20">
        <v>15.48</v>
      </c>
      <c r="P80" s="64">
        <f t="shared" si="21"/>
        <v>5.4108080808080885</v>
      </c>
      <c r="Q80" s="63">
        <f t="shared" si="22"/>
        <v>5.4108080808080885</v>
      </c>
      <c r="R80" s="64">
        <f t="shared" si="23"/>
        <v>29.276844087338109</v>
      </c>
    </row>
    <row r="81" spans="1:18" x14ac:dyDescent="0.2">
      <c r="A81" s="21">
        <v>36</v>
      </c>
      <c r="B81" s="21">
        <v>2</v>
      </c>
      <c r="C81" s="20">
        <v>345</v>
      </c>
      <c r="D81" s="64">
        <f t="shared" si="12"/>
        <v>-2462.8333333333335</v>
      </c>
      <c r="E81" s="63">
        <f t="shared" si="13"/>
        <v>2462.8333333333335</v>
      </c>
      <c r="F81" s="64">
        <f t="shared" si="14"/>
        <v>6065548.0277777789</v>
      </c>
      <c r="G81" s="20">
        <v>4</v>
      </c>
      <c r="H81" s="64">
        <f t="shared" si="15"/>
        <v>-32.646464646464644</v>
      </c>
      <c r="I81" s="63">
        <f t="shared" si="16"/>
        <v>32.646464646464644</v>
      </c>
      <c r="J81" s="64">
        <f t="shared" si="17"/>
        <v>1065.7916539128657</v>
      </c>
      <c r="K81" s="20">
        <v>61</v>
      </c>
      <c r="L81" s="64">
        <f t="shared" si="18"/>
        <v>-836.04040404040404</v>
      </c>
      <c r="M81" s="63">
        <f t="shared" si="19"/>
        <v>836.04040404040404</v>
      </c>
      <c r="N81" s="64">
        <f t="shared" si="20"/>
        <v>698963.55718804209</v>
      </c>
      <c r="O81" s="20">
        <v>15.5</v>
      </c>
      <c r="P81" s="64">
        <f t="shared" si="21"/>
        <v>5.4308080808080881</v>
      </c>
      <c r="Q81" s="63">
        <f t="shared" si="22"/>
        <v>5.4308080808080881</v>
      </c>
      <c r="R81" s="64">
        <f t="shared" si="23"/>
        <v>29.49367641057043</v>
      </c>
    </row>
    <row r="82" spans="1:18" x14ac:dyDescent="0.2">
      <c r="A82" s="21">
        <v>193</v>
      </c>
      <c r="B82" s="21">
        <v>2</v>
      </c>
      <c r="C82" s="20">
        <v>343</v>
      </c>
      <c r="D82" s="64">
        <f t="shared" si="12"/>
        <v>-2464.8333333333335</v>
      </c>
      <c r="E82" s="63">
        <f t="shared" si="13"/>
        <v>2464.8333333333335</v>
      </c>
      <c r="F82" s="64">
        <f t="shared" si="14"/>
        <v>6075403.3611111119</v>
      </c>
      <c r="G82" s="20">
        <v>4</v>
      </c>
      <c r="H82" s="64">
        <f t="shared" si="15"/>
        <v>-32.646464646464644</v>
      </c>
      <c r="I82" s="63">
        <f t="shared" si="16"/>
        <v>32.646464646464644</v>
      </c>
      <c r="J82" s="64">
        <f t="shared" si="17"/>
        <v>1065.7916539128657</v>
      </c>
      <c r="K82" s="20">
        <v>76</v>
      </c>
      <c r="L82" s="64">
        <f t="shared" si="18"/>
        <v>-821.04040404040404</v>
      </c>
      <c r="M82" s="63">
        <f t="shared" si="19"/>
        <v>821.04040404040404</v>
      </c>
      <c r="N82" s="64">
        <f t="shared" si="20"/>
        <v>674107.34506682993</v>
      </c>
      <c r="O82" s="20">
        <v>12.36</v>
      </c>
      <c r="P82" s="64">
        <f t="shared" si="21"/>
        <v>2.2908080808080875</v>
      </c>
      <c r="Q82" s="63">
        <f t="shared" si="22"/>
        <v>2.2908080808080875</v>
      </c>
      <c r="R82" s="64">
        <f t="shared" si="23"/>
        <v>5.2478016630956335</v>
      </c>
    </row>
    <row r="83" spans="1:18" x14ac:dyDescent="0.2">
      <c r="A83" s="21">
        <v>55</v>
      </c>
      <c r="B83" s="21">
        <v>2</v>
      </c>
      <c r="C83" s="20">
        <v>331</v>
      </c>
      <c r="D83" s="64">
        <f t="shared" si="12"/>
        <v>-2476.8333333333335</v>
      </c>
      <c r="E83" s="63">
        <f t="shared" si="13"/>
        <v>2476.8333333333335</v>
      </c>
      <c r="F83" s="64">
        <f t="shared" si="14"/>
        <v>6134703.3611111119</v>
      </c>
      <c r="G83" s="20">
        <v>4</v>
      </c>
      <c r="H83" s="64">
        <f t="shared" si="15"/>
        <v>-32.646464646464644</v>
      </c>
      <c r="I83" s="63">
        <f t="shared" si="16"/>
        <v>32.646464646464644</v>
      </c>
      <c r="J83" s="64">
        <f t="shared" si="17"/>
        <v>1065.7916539128657</v>
      </c>
      <c r="K83" s="20">
        <v>85</v>
      </c>
      <c r="L83" s="64">
        <f t="shared" si="18"/>
        <v>-812.04040404040404</v>
      </c>
      <c r="M83" s="63">
        <f t="shared" si="19"/>
        <v>812.04040404040404</v>
      </c>
      <c r="N83" s="64">
        <f t="shared" si="20"/>
        <v>659409.61779410264</v>
      </c>
      <c r="O83" s="20">
        <v>10.67</v>
      </c>
      <c r="P83" s="64">
        <f t="shared" si="21"/>
        <v>0.60080808080808801</v>
      </c>
      <c r="Q83" s="63">
        <f t="shared" si="22"/>
        <v>0.60080808080808801</v>
      </c>
      <c r="R83" s="64">
        <f t="shared" si="23"/>
        <v>0.360970349964298</v>
      </c>
    </row>
    <row r="84" spans="1:18" x14ac:dyDescent="0.2">
      <c r="A84" s="21">
        <v>56</v>
      </c>
      <c r="B84" s="21">
        <v>2</v>
      </c>
      <c r="C84" s="20">
        <v>331</v>
      </c>
      <c r="D84" s="64">
        <f t="shared" si="12"/>
        <v>-2476.8333333333335</v>
      </c>
      <c r="E84" s="63">
        <f t="shared" si="13"/>
        <v>2476.8333333333335</v>
      </c>
      <c r="F84" s="64">
        <f t="shared" si="14"/>
        <v>6134703.3611111119</v>
      </c>
      <c r="G84" s="20">
        <v>5</v>
      </c>
      <c r="H84" s="64">
        <f t="shared" si="15"/>
        <v>-31.646464646464644</v>
      </c>
      <c r="I84" s="63">
        <f t="shared" si="16"/>
        <v>31.646464646464644</v>
      </c>
      <c r="J84" s="64">
        <f t="shared" si="17"/>
        <v>1001.4987246199365</v>
      </c>
      <c r="K84" s="20">
        <v>69</v>
      </c>
      <c r="L84" s="64">
        <f t="shared" si="18"/>
        <v>-828.04040404040404</v>
      </c>
      <c r="M84" s="63">
        <f t="shared" si="19"/>
        <v>828.04040404040404</v>
      </c>
      <c r="N84" s="64">
        <f t="shared" si="20"/>
        <v>685650.91072339553</v>
      </c>
      <c r="O84" s="20">
        <v>13.14</v>
      </c>
      <c r="P84" s="64">
        <f t="shared" si="21"/>
        <v>3.0708080808080886</v>
      </c>
      <c r="Q84" s="63">
        <f t="shared" si="22"/>
        <v>3.0708080808080886</v>
      </c>
      <c r="R84" s="64">
        <f t="shared" si="23"/>
        <v>9.4298622691562564</v>
      </c>
    </row>
    <row r="85" spans="1:18" x14ac:dyDescent="0.2">
      <c r="A85" s="21">
        <v>57</v>
      </c>
      <c r="B85" s="21">
        <v>2</v>
      </c>
      <c r="C85" s="20">
        <v>330</v>
      </c>
      <c r="D85" s="64">
        <f t="shared" si="12"/>
        <v>-2477.8333333333335</v>
      </c>
      <c r="E85" s="63">
        <f t="shared" si="13"/>
        <v>2477.8333333333335</v>
      </c>
      <c r="F85" s="64">
        <f t="shared" si="14"/>
        <v>6139658.0277777789</v>
      </c>
      <c r="G85" s="20">
        <v>5</v>
      </c>
      <c r="H85" s="64">
        <f t="shared" si="15"/>
        <v>-31.646464646464644</v>
      </c>
      <c r="I85" s="63">
        <f t="shared" si="16"/>
        <v>31.646464646464644</v>
      </c>
      <c r="J85" s="64">
        <f t="shared" si="17"/>
        <v>1001.4987246199365</v>
      </c>
      <c r="K85" s="20">
        <v>105</v>
      </c>
      <c r="L85" s="64">
        <f t="shared" si="18"/>
        <v>-792.04040404040404</v>
      </c>
      <c r="M85" s="63">
        <f t="shared" si="19"/>
        <v>792.04040404040404</v>
      </c>
      <c r="N85" s="64">
        <f t="shared" si="20"/>
        <v>627328.00163248647</v>
      </c>
      <c r="O85" s="20">
        <v>8.61</v>
      </c>
      <c r="P85" s="64">
        <f t="shared" si="21"/>
        <v>-1.4591919191919125</v>
      </c>
      <c r="Q85" s="63">
        <f t="shared" si="22"/>
        <v>1.4591919191919125</v>
      </c>
      <c r="R85" s="64">
        <f t="shared" si="23"/>
        <v>2.1292410570349767</v>
      </c>
    </row>
    <row r="86" spans="1:18" x14ac:dyDescent="0.2">
      <c r="A86" s="21">
        <v>194</v>
      </c>
      <c r="B86" s="21">
        <v>2</v>
      </c>
      <c r="C86" s="20">
        <v>326</v>
      </c>
      <c r="D86" s="64">
        <f t="shared" si="12"/>
        <v>-2481.8333333333335</v>
      </c>
      <c r="E86" s="63">
        <f t="shared" si="13"/>
        <v>2481.8333333333335</v>
      </c>
      <c r="F86" s="64">
        <f t="shared" si="14"/>
        <v>6159496.694444445</v>
      </c>
      <c r="G86" s="20">
        <v>6</v>
      </c>
      <c r="H86" s="64">
        <f t="shared" si="15"/>
        <v>-30.646464646464644</v>
      </c>
      <c r="I86" s="63">
        <f t="shared" si="16"/>
        <v>30.646464646464644</v>
      </c>
      <c r="J86" s="64">
        <f t="shared" si="17"/>
        <v>939.20579532700731</v>
      </c>
      <c r="K86" s="20">
        <v>148</v>
      </c>
      <c r="L86" s="64">
        <f t="shared" si="18"/>
        <v>-749.04040404040404</v>
      </c>
      <c r="M86" s="63">
        <f t="shared" si="19"/>
        <v>749.04040404040404</v>
      </c>
      <c r="N86" s="64">
        <f t="shared" si="20"/>
        <v>561061.5268850117</v>
      </c>
      <c r="O86" s="20">
        <v>6.03</v>
      </c>
      <c r="P86" s="64">
        <f t="shared" si="21"/>
        <v>-4.0391919191919117</v>
      </c>
      <c r="Q86" s="63">
        <f t="shared" si="22"/>
        <v>4.0391919191919117</v>
      </c>
      <c r="R86" s="64">
        <f t="shared" si="23"/>
        <v>16.31507136006524</v>
      </c>
    </row>
    <row r="87" spans="1:18" x14ac:dyDescent="0.2">
      <c r="A87" s="21">
        <v>35</v>
      </c>
      <c r="B87" s="21">
        <v>2</v>
      </c>
      <c r="C87" s="20">
        <v>320</v>
      </c>
      <c r="D87" s="64">
        <f t="shared" si="12"/>
        <v>-2487.8333333333335</v>
      </c>
      <c r="E87" s="63">
        <f t="shared" si="13"/>
        <v>2487.8333333333335</v>
      </c>
      <c r="F87" s="64">
        <f t="shared" si="14"/>
        <v>6189314.694444445</v>
      </c>
      <c r="G87" s="20">
        <v>6</v>
      </c>
      <c r="H87" s="64">
        <f t="shared" si="15"/>
        <v>-30.646464646464644</v>
      </c>
      <c r="I87" s="63">
        <f t="shared" si="16"/>
        <v>30.646464646464644</v>
      </c>
      <c r="J87" s="64">
        <f t="shared" si="17"/>
        <v>939.20579532700731</v>
      </c>
      <c r="K87" s="20">
        <v>156</v>
      </c>
      <c r="L87" s="64">
        <f t="shared" si="18"/>
        <v>-741.04040404040404</v>
      </c>
      <c r="M87" s="63">
        <f t="shared" si="19"/>
        <v>741.04040404040404</v>
      </c>
      <c r="N87" s="64">
        <f t="shared" si="20"/>
        <v>549140.88042036525</v>
      </c>
      <c r="O87" s="20">
        <v>5.62</v>
      </c>
      <c r="P87" s="64">
        <f t="shared" si="21"/>
        <v>-4.4491919191919118</v>
      </c>
      <c r="Q87" s="63">
        <f t="shared" si="22"/>
        <v>4.4491919191919118</v>
      </c>
      <c r="R87" s="64">
        <f t="shared" si="23"/>
        <v>19.795308733802607</v>
      </c>
    </row>
    <row r="88" spans="1:18" x14ac:dyDescent="0.2">
      <c r="A88" s="21">
        <v>147</v>
      </c>
      <c r="B88" s="21">
        <v>2</v>
      </c>
      <c r="C88" s="20">
        <v>320</v>
      </c>
      <c r="D88" s="64">
        <f t="shared" si="12"/>
        <v>-2487.8333333333335</v>
      </c>
      <c r="E88" s="63">
        <f t="shared" si="13"/>
        <v>2487.8333333333335</v>
      </c>
      <c r="F88" s="64">
        <f t="shared" si="14"/>
        <v>6189314.694444445</v>
      </c>
      <c r="G88" s="20">
        <v>4</v>
      </c>
      <c r="H88" s="64">
        <f t="shared" si="15"/>
        <v>-32.646464646464644</v>
      </c>
      <c r="I88" s="63">
        <f t="shared" si="16"/>
        <v>32.646464646464644</v>
      </c>
      <c r="J88" s="64">
        <f t="shared" si="17"/>
        <v>1065.7916539128657</v>
      </c>
      <c r="K88" s="20">
        <v>56</v>
      </c>
      <c r="L88" s="64">
        <f t="shared" si="18"/>
        <v>-841.04040404040404</v>
      </c>
      <c r="M88" s="63">
        <f t="shared" si="19"/>
        <v>841.04040404040404</v>
      </c>
      <c r="N88" s="64">
        <f t="shared" si="20"/>
        <v>707348.9612284461</v>
      </c>
      <c r="O88" s="20">
        <v>15.66</v>
      </c>
      <c r="P88" s="64">
        <f t="shared" si="21"/>
        <v>5.5908080808080882</v>
      </c>
      <c r="Q88" s="63">
        <f t="shared" si="22"/>
        <v>5.5908080808080882</v>
      </c>
      <c r="R88" s="64">
        <f t="shared" si="23"/>
        <v>31.25713499642902</v>
      </c>
    </row>
    <row r="89" spans="1:18" x14ac:dyDescent="0.2">
      <c r="A89" s="21">
        <v>58</v>
      </c>
      <c r="B89" s="21">
        <v>2</v>
      </c>
      <c r="C89" s="20">
        <v>318</v>
      </c>
      <c r="D89" s="64">
        <f t="shared" si="12"/>
        <v>-2489.8333333333335</v>
      </c>
      <c r="E89" s="63">
        <f t="shared" si="13"/>
        <v>2489.8333333333335</v>
      </c>
      <c r="F89" s="64">
        <f t="shared" si="14"/>
        <v>6199270.0277777789</v>
      </c>
      <c r="G89" s="20">
        <v>3</v>
      </c>
      <c r="H89" s="64">
        <f t="shared" si="15"/>
        <v>-33.646464646464644</v>
      </c>
      <c r="I89" s="63">
        <f t="shared" si="16"/>
        <v>33.646464646464644</v>
      </c>
      <c r="J89" s="64">
        <f t="shared" si="17"/>
        <v>1132.0845832057951</v>
      </c>
      <c r="K89" s="20">
        <v>61</v>
      </c>
      <c r="L89" s="64">
        <f t="shared" si="18"/>
        <v>-836.04040404040404</v>
      </c>
      <c r="M89" s="63">
        <f t="shared" si="19"/>
        <v>836.04040404040404</v>
      </c>
      <c r="N89" s="64">
        <f t="shared" si="20"/>
        <v>698963.55718804209</v>
      </c>
      <c r="O89" s="20">
        <v>14.28</v>
      </c>
      <c r="P89" s="64">
        <f t="shared" si="21"/>
        <v>4.2108080808080874</v>
      </c>
      <c r="Q89" s="63">
        <f t="shared" si="22"/>
        <v>4.2108080808080874</v>
      </c>
      <c r="R89" s="64">
        <f t="shared" si="23"/>
        <v>17.730904693398688</v>
      </c>
    </row>
    <row r="90" spans="1:18" x14ac:dyDescent="0.2">
      <c r="A90" s="21">
        <v>59</v>
      </c>
      <c r="B90" s="21">
        <v>2</v>
      </c>
      <c r="C90" s="20">
        <v>318</v>
      </c>
      <c r="D90" s="64">
        <f t="shared" si="12"/>
        <v>-2489.8333333333335</v>
      </c>
      <c r="E90" s="63">
        <f t="shared" si="13"/>
        <v>2489.8333333333335</v>
      </c>
      <c r="F90" s="64">
        <f t="shared" si="14"/>
        <v>6199270.0277777789</v>
      </c>
      <c r="G90" s="20">
        <v>4</v>
      </c>
      <c r="H90" s="64">
        <f t="shared" si="15"/>
        <v>-32.646464646464644</v>
      </c>
      <c r="I90" s="63">
        <f t="shared" si="16"/>
        <v>32.646464646464644</v>
      </c>
      <c r="J90" s="64">
        <f t="shared" si="17"/>
        <v>1065.7916539128657</v>
      </c>
      <c r="K90" s="20">
        <v>54</v>
      </c>
      <c r="L90" s="64">
        <f t="shared" si="18"/>
        <v>-843.04040404040404</v>
      </c>
      <c r="M90" s="63">
        <f t="shared" si="19"/>
        <v>843.04040404040404</v>
      </c>
      <c r="N90" s="64">
        <f t="shared" si="20"/>
        <v>710717.12284460769</v>
      </c>
      <c r="O90" s="20">
        <v>16.13</v>
      </c>
      <c r="P90" s="64">
        <f t="shared" si="21"/>
        <v>6.0608080808080871</v>
      </c>
      <c r="Q90" s="63">
        <f t="shared" si="22"/>
        <v>6.0608080808080871</v>
      </c>
      <c r="R90" s="64">
        <f t="shared" si="23"/>
        <v>36.733394592388606</v>
      </c>
    </row>
    <row r="91" spans="1:18" x14ac:dyDescent="0.2">
      <c r="A91" s="21">
        <v>60</v>
      </c>
      <c r="B91" s="21">
        <v>2</v>
      </c>
      <c r="C91" s="20">
        <v>311</v>
      </c>
      <c r="D91" s="64">
        <f t="shared" si="12"/>
        <v>-2496.8333333333335</v>
      </c>
      <c r="E91" s="63">
        <f t="shared" si="13"/>
        <v>2496.8333333333335</v>
      </c>
      <c r="F91" s="64">
        <f t="shared" si="14"/>
        <v>6234176.694444445</v>
      </c>
      <c r="G91" s="20">
        <v>4</v>
      </c>
      <c r="H91" s="64">
        <f t="shared" si="15"/>
        <v>-32.646464646464644</v>
      </c>
      <c r="I91" s="63">
        <f t="shared" si="16"/>
        <v>32.646464646464644</v>
      </c>
      <c r="J91" s="64">
        <f t="shared" si="17"/>
        <v>1065.7916539128657</v>
      </c>
      <c r="K91" s="20">
        <v>65</v>
      </c>
      <c r="L91" s="64">
        <f t="shared" si="18"/>
        <v>-832.04040404040404</v>
      </c>
      <c r="M91" s="63">
        <f t="shared" si="19"/>
        <v>832.04040404040404</v>
      </c>
      <c r="N91" s="64">
        <f t="shared" si="20"/>
        <v>692291.23395571881</v>
      </c>
      <c r="O91" s="20">
        <v>13.11</v>
      </c>
      <c r="P91" s="64">
        <f t="shared" si="21"/>
        <v>3.0408080808080875</v>
      </c>
      <c r="Q91" s="63">
        <f t="shared" si="22"/>
        <v>3.0408080808080875</v>
      </c>
      <c r="R91" s="64">
        <f t="shared" si="23"/>
        <v>9.2465137843077638</v>
      </c>
    </row>
    <row r="92" spans="1:18" x14ac:dyDescent="0.2">
      <c r="A92" s="21">
        <v>61</v>
      </c>
      <c r="B92" s="21">
        <v>2</v>
      </c>
      <c r="C92" s="20">
        <v>311</v>
      </c>
      <c r="D92" s="64">
        <f t="shared" si="12"/>
        <v>-2496.8333333333335</v>
      </c>
      <c r="E92" s="63">
        <f t="shared" si="13"/>
        <v>2496.8333333333335</v>
      </c>
      <c r="F92" s="64">
        <f t="shared" si="14"/>
        <v>6234176.694444445</v>
      </c>
      <c r="G92" s="20">
        <v>3</v>
      </c>
      <c r="H92" s="64">
        <f t="shared" si="15"/>
        <v>-33.646464646464644</v>
      </c>
      <c r="I92" s="63">
        <f t="shared" si="16"/>
        <v>33.646464646464644</v>
      </c>
      <c r="J92" s="64">
        <f t="shared" si="17"/>
        <v>1132.0845832057951</v>
      </c>
      <c r="K92" s="20">
        <v>58</v>
      </c>
      <c r="L92" s="64">
        <f t="shared" si="18"/>
        <v>-839.04040404040404</v>
      </c>
      <c r="M92" s="63">
        <f t="shared" si="19"/>
        <v>839.04040404040404</v>
      </c>
      <c r="N92" s="64">
        <f t="shared" si="20"/>
        <v>703988.79961228441</v>
      </c>
      <c r="O92" s="20">
        <v>14.69</v>
      </c>
      <c r="P92" s="64">
        <f t="shared" si="21"/>
        <v>4.6208080808080876</v>
      </c>
      <c r="Q92" s="63">
        <f t="shared" si="22"/>
        <v>4.6208080808080876</v>
      </c>
      <c r="R92" s="64">
        <f t="shared" si="23"/>
        <v>21.35186731966132</v>
      </c>
    </row>
    <row r="93" spans="1:18" x14ac:dyDescent="0.2">
      <c r="A93" s="21">
        <v>32</v>
      </c>
      <c r="B93" s="21">
        <v>2</v>
      </c>
      <c r="C93" s="20">
        <v>308</v>
      </c>
      <c r="D93" s="64">
        <f t="shared" si="12"/>
        <v>-2499.8333333333335</v>
      </c>
      <c r="E93" s="63">
        <f t="shared" si="13"/>
        <v>2499.8333333333335</v>
      </c>
      <c r="F93" s="64">
        <f t="shared" si="14"/>
        <v>6249166.694444445</v>
      </c>
      <c r="G93" s="20">
        <v>2</v>
      </c>
      <c r="H93" s="64">
        <f t="shared" si="15"/>
        <v>-34.646464646464644</v>
      </c>
      <c r="I93" s="63">
        <f t="shared" si="16"/>
        <v>34.646464646464644</v>
      </c>
      <c r="J93" s="64">
        <f t="shared" si="17"/>
        <v>1200.3775124987244</v>
      </c>
      <c r="K93" s="20">
        <v>54</v>
      </c>
      <c r="L93" s="64">
        <f t="shared" si="18"/>
        <v>-843.04040404040404</v>
      </c>
      <c r="M93" s="63">
        <f t="shared" si="19"/>
        <v>843.04040404040404</v>
      </c>
      <c r="N93" s="64">
        <f t="shared" si="20"/>
        <v>710717.12284460769</v>
      </c>
      <c r="O93" s="20">
        <v>15.63</v>
      </c>
      <c r="P93" s="64">
        <f t="shared" si="21"/>
        <v>5.5608080808080889</v>
      </c>
      <c r="Q93" s="63">
        <f t="shared" si="22"/>
        <v>5.5608080808080889</v>
      </c>
      <c r="R93" s="64">
        <f t="shared" si="23"/>
        <v>30.922586511580541</v>
      </c>
    </row>
    <row r="94" spans="1:18" x14ac:dyDescent="0.2">
      <c r="A94" s="21">
        <v>105</v>
      </c>
      <c r="B94" s="21">
        <v>2</v>
      </c>
      <c r="C94" s="20">
        <v>308</v>
      </c>
      <c r="D94" s="64">
        <f t="shared" si="12"/>
        <v>-2499.8333333333335</v>
      </c>
      <c r="E94" s="63">
        <f t="shared" si="13"/>
        <v>2499.8333333333335</v>
      </c>
      <c r="F94" s="64">
        <f t="shared" si="14"/>
        <v>6249166.694444445</v>
      </c>
      <c r="G94" s="20">
        <v>4</v>
      </c>
      <c r="H94" s="64">
        <f t="shared" si="15"/>
        <v>-32.646464646464644</v>
      </c>
      <c r="I94" s="63">
        <f t="shared" si="16"/>
        <v>32.646464646464644</v>
      </c>
      <c r="J94" s="64">
        <f t="shared" si="17"/>
        <v>1065.7916539128657</v>
      </c>
      <c r="K94" s="20">
        <v>52</v>
      </c>
      <c r="L94" s="64">
        <f t="shared" si="18"/>
        <v>-845.04040404040404</v>
      </c>
      <c r="M94" s="63">
        <f t="shared" si="19"/>
        <v>845.04040404040404</v>
      </c>
      <c r="N94" s="64">
        <f t="shared" si="20"/>
        <v>714093.28446076927</v>
      </c>
      <c r="O94" s="20">
        <v>16.23</v>
      </c>
      <c r="P94" s="64">
        <f t="shared" si="21"/>
        <v>6.1608080808080885</v>
      </c>
      <c r="Q94" s="63">
        <f t="shared" si="22"/>
        <v>6.1608080808080885</v>
      </c>
      <c r="R94" s="64">
        <f t="shared" si="23"/>
        <v>37.955556208550242</v>
      </c>
    </row>
    <row r="95" spans="1:18" x14ac:dyDescent="0.2">
      <c r="A95" s="21">
        <v>108</v>
      </c>
      <c r="B95" s="21">
        <v>2</v>
      </c>
      <c r="C95" s="20">
        <v>303</v>
      </c>
      <c r="D95" s="64">
        <f t="shared" si="12"/>
        <v>-2504.8333333333335</v>
      </c>
      <c r="E95" s="63">
        <f t="shared" si="13"/>
        <v>2504.8333333333335</v>
      </c>
      <c r="F95" s="64">
        <f t="shared" si="14"/>
        <v>6274190.0277777789</v>
      </c>
      <c r="G95" s="20">
        <v>3</v>
      </c>
      <c r="H95" s="64">
        <f t="shared" si="15"/>
        <v>-33.646464646464644</v>
      </c>
      <c r="I95" s="63">
        <f t="shared" si="16"/>
        <v>33.646464646464644</v>
      </c>
      <c r="J95" s="64">
        <f t="shared" si="17"/>
        <v>1132.0845832057951</v>
      </c>
      <c r="K95" s="20">
        <v>51</v>
      </c>
      <c r="L95" s="64">
        <f t="shared" si="18"/>
        <v>-846.04040404040404</v>
      </c>
      <c r="M95" s="63">
        <f t="shared" si="19"/>
        <v>846.04040404040404</v>
      </c>
      <c r="N95" s="64">
        <f t="shared" si="20"/>
        <v>715784.36526885012</v>
      </c>
      <c r="O95" s="20">
        <v>16.28</v>
      </c>
      <c r="P95" s="64">
        <f t="shared" si="21"/>
        <v>6.2108080808080892</v>
      </c>
      <c r="Q95" s="63">
        <f t="shared" si="22"/>
        <v>6.2108080808080892</v>
      </c>
      <c r="R95" s="64">
        <f t="shared" si="23"/>
        <v>38.574137016631063</v>
      </c>
    </row>
    <row r="96" spans="1:18" x14ac:dyDescent="0.2">
      <c r="A96" s="21">
        <v>48</v>
      </c>
      <c r="B96" s="21">
        <v>2</v>
      </c>
      <c r="C96" s="20">
        <v>302</v>
      </c>
      <c r="D96" s="64">
        <f t="shared" si="12"/>
        <v>-2505.8333333333335</v>
      </c>
      <c r="E96" s="63">
        <f t="shared" si="13"/>
        <v>2505.8333333333335</v>
      </c>
      <c r="F96" s="64">
        <f t="shared" si="14"/>
        <v>6279200.694444445</v>
      </c>
      <c r="G96" s="20">
        <v>2</v>
      </c>
      <c r="H96" s="64">
        <f t="shared" si="15"/>
        <v>-34.646464646464644</v>
      </c>
      <c r="I96" s="63">
        <f t="shared" si="16"/>
        <v>34.646464646464644</v>
      </c>
      <c r="J96" s="64">
        <f t="shared" si="17"/>
        <v>1200.3775124987244</v>
      </c>
      <c r="K96" s="20">
        <v>62</v>
      </c>
      <c r="L96" s="64">
        <f t="shared" si="18"/>
        <v>-835.04040404040404</v>
      </c>
      <c r="M96" s="63">
        <f t="shared" si="19"/>
        <v>835.04040404040404</v>
      </c>
      <c r="N96" s="64">
        <f t="shared" si="20"/>
        <v>697292.47637996124</v>
      </c>
      <c r="O96" s="20">
        <v>13.35</v>
      </c>
      <c r="P96" s="64">
        <f t="shared" si="21"/>
        <v>3.2808080808080877</v>
      </c>
      <c r="Q96" s="63">
        <f t="shared" si="22"/>
        <v>3.2808080808080877</v>
      </c>
      <c r="R96" s="64">
        <f t="shared" si="23"/>
        <v>10.763701663095647</v>
      </c>
    </row>
    <row r="97" spans="1:18" x14ac:dyDescent="0.2">
      <c r="A97" s="21">
        <v>196</v>
      </c>
      <c r="B97" s="21">
        <v>2</v>
      </c>
      <c r="C97" s="20">
        <v>302</v>
      </c>
      <c r="D97" s="64">
        <f t="shared" si="12"/>
        <v>-2505.8333333333335</v>
      </c>
      <c r="E97" s="63">
        <f t="shared" si="13"/>
        <v>2505.8333333333335</v>
      </c>
      <c r="F97" s="64">
        <f t="shared" si="14"/>
        <v>6279200.694444445</v>
      </c>
      <c r="G97" s="20">
        <v>2</v>
      </c>
      <c r="H97" s="64">
        <f t="shared" si="15"/>
        <v>-34.646464646464644</v>
      </c>
      <c r="I97" s="63">
        <f t="shared" si="16"/>
        <v>34.646464646464644</v>
      </c>
      <c r="J97" s="64">
        <f t="shared" si="17"/>
        <v>1200.3775124987244</v>
      </c>
      <c r="K97" s="20">
        <v>78</v>
      </c>
      <c r="L97" s="64">
        <f t="shared" si="18"/>
        <v>-819.04040404040404</v>
      </c>
      <c r="M97" s="63">
        <f t="shared" si="19"/>
        <v>819.04040404040404</v>
      </c>
      <c r="N97" s="64">
        <f t="shared" si="20"/>
        <v>670827.18345066835</v>
      </c>
      <c r="O97" s="20">
        <v>10.61</v>
      </c>
      <c r="P97" s="64">
        <f t="shared" si="21"/>
        <v>0.54080808080808751</v>
      </c>
      <c r="Q97" s="63">
        <f t="shared" si="22"/>
        <v>0.54080808080808751</v>
      </c>
      <c r="R97" s="64">
        <f t="shared" si="23"/>
        <v>0.29247338026732689</v>
      </c>
    </row>
    <row r="98" spans="1:18" x14ac:dyDescent="0.2">
      <c r="A98" s="21">
        <v>39</v>
      </c>
      <c r="B98" s="21">
        <v>2</v>
      </c>
      <c r="C98" s="20">
        <v>301</v>
      </c>
      <c r="D98" s="64">
        <f t="shared" si="12"/>
        <v>-2506.8333333333335</v>
      </c>
      <c r="E98" s="63">
        <f t="shared" si="13"/>
        <v>2506.8333333333335</v>
      </c>
      <c r="F98" s="64">
        <f t="shared" si="14"/>
        <v>6284213.3611111119</v>
      </c>
      <c r="G98" s="20">
        <v>2</v>
      </c>
      <c r="H98" s="64">
        <f t="shared" si="15"/>
        <v>-34.646464646464644</v>
      </c>
      <c r="I98" s="63">
        <f t="shared" si="16"/>
        <v>34.646464646464644</v>
      </c>
      <c r="J98" s="64">
        <f t="shared" si="17"/>
        <v>1200.3775124987244</v>
      </c>
      <c r="K98" s="20">
        <v>54</v>
      </c>
      <c r="L98" s="64">
        <f t="shared" si="18"/>
        <v>-843.04040404040404</v>
      </c>
      <c r="M98" s="63">
        <f t="shared" si="19"/>
        <v>843.04040404040404</v>
      </c>
      <c r="N98" s="64">
        <f t="shared" si="20"/>
        <v>710717.12284460769</v>
      </c>
      <c r="O98" s="20">
        <v>15.27</v>
      </c>
      <c r="P98" s="64">
        <f t="shared" si="21"/>
        <v>5.2008080808080877</v>
      </c>
      <c r="Q98" s="63">
        <f t="shared" si="22"/>
        <v>5.2008080808080877</v>
      </c>
      <c r="R98" s="64">
        <f t="shared" si="23"/>
        <v>27.048404693398705</v>
      </c>
    </row>
    <row r="99" spans="1:18" x14ac:dyDescent="0.2">
      <c r="A99" s="21">
        <v>151</v>
      </c>
      <c r="B99" s="21">
        <v>2</v>
      </c>
      <c r="C99" s="20">
        <v>301</v>
      </c>
      <c r="D99" s="64">
        <f t="shared" si="12"/>
        <v>-2506.8333333333335</v>
      </c>
      <c r="E99" s="63">
        <f t="shared" si="13"/>
        <v>2506.8333333333335</v>
      </c>
      <c r="F99" s="64">
        <f t="shared" si="14"/>
        <v>6284213.3611111119</v>
      </c>
      <c r="G99" s="20">
        <v>4</v>
      </c>
      <c r="H99" s="64">
        <f t="shared" si="15"/>
        <v>-32.646464646464644</v>
      </c>
      <c r="I99" s="63">
        <f t="shared" si="16"/>
        <v>32.646464646464644</v>
      </c>
      <c r="J99" s="64">
        <f t="shared" si="17"/>
        <v>1065.7916539128657</v>
      </c>
      <c r="K99" s="20">
        <v>98</v>
      </c>
      <c r="L99" s="64">
        <f t="shared" si="18"/>
        <v>-799.04040404040404</v>
      </c>
      <c r="M99" s="63">
        <f t="shared" si="19"/>
        <v>799.04040404040404</v>
      </c>
      <c r="N99" s="64">
        <f t="shared" si="20"/>
        <v>638465.56728905218</v>
      </c>
      <c r="O99" s="20">
        <v>8.41</v>
      </c>
      <c r="P99" s="64">
        <f t="shared" si="21"/>
        <v>-1.6591919191919118</v>
      </c>
      <c r="Q99" s="63">
        <f t="shared" si="22"/>
        <v>1.6591919191919118</v>
      </c>
      <c r="R99" s="64">
        <f t="shared" si="23"/>
        <v>2.7529178247117394</v>
      </c>
    </row>
    <row r="100" spans="1:18" x14ac:dyDescent="0.2">
      <c r="A100" s="21">
        <v>49</v>
      </c>
      <c r="B100" s="21">
        <v>2</v>
      </c>
      <c r="C100" s="20">
        <v>299</v>
      </c>
      <c r="D100" s="64">
        <f t="shared" si="12"/>
        <v>-2508.8333333333335</v>
      </c>
      <c r="E100" s="63">
        <f t="shared" si="13"/>
        <v>2508.8333333333335</v>
      </c>
      <c r="F100" s="64">
        <f t="shared" si="14"/>
        <v>6294244.694444445</v>
      </c>
      <c r="G100" s="20">
        <v>5</v>
      </c>
      <c r="H100" s="64">
        <f t="shared" si="15"/>
        <v>-31.646464646464644</v>
      </c>
      <c r="I100" s="63">
        <f t="shared" si="16"/>
        <v>31.646464646464644</v>
      </c>
      <c r="J100" s="64">
        <f t="shared" si="17"/>
        <v>1001.4987246199365</v>
      </c>
      <c r="K100" s="20">
        <v>101</v>
      </c>
      <c r="L100" s="64">
        <f t="shared" si="18"/>
        <v>-796.04040404040404</v>
      </c>
      <c r="M100" s="63">
        <f t="shared" si="19"/>
        <v>796.04040404040404</v>
      </c>
      <c r="N100" s="64">
        <f t="shared" si="20"/>
        <v>633680.32486480975</v>
      </c>
      <c r="O100" s="20">
        <v>8.11</v>
      </c>
      <c r="P100" s="64">
        <f t="shared" si="21"/>
        <v>-1.9591919191919125</v>
      </c>
      <c r="Q100" s="63">
        <f t="shared" si="22"/>
        <v>1.9591919191919125</v>
      </c>
      <c r="R100" s="64">
        <f t="shared" si="23"/>
        <v>3.8384329762268892</v>
      </c>
    </row>
    <row r="101" spans="1:18" x14ac:dyDescent="0.2">
      <c r="A101" s="21">
        <v>175</v>
      </c>
      <c r="B101" s="21">
        <v>2</v>
      </c>
      <c r="C101" s="20">
        <v>299</v>
      </c>
      <c r="D101" s="64">
        <f t="shared" si="12"/>
        <v>-2508.8333333333335</v>
      </c>
      <c r="E101" s="63">
        <f t="shared" si="13"/>
        <v>2508.8333333333335</v>
      </c>
      <c r="F101" s="64">
        <f t="shared" si="14"/>
        <v>6294244.694444445</v>
      </c>
      <c r="G101" s="20">
        <v>5</v>
      </c>
      <c r="H101" s="64">
        <f t="shared" si="15"/>
        <v>-31.646464646464644</v>
      </c>
      <c r="I101" s="63">
        <f t="shared" si="16"/>
        <v>31.646464646464644</v>
      </c>
      <c r="J101" s="64">
        <f t="shared" si="17"/>
        <v>1001.4987246199365</v>
      </c>
      <c r="K101" s="20">
        <v>92</v>
      </c>
      <c r="L101" s="64">
        <f t="shared" si="18"/>
        <v>-805.04040404040404</v>
      </c>
      <c r="M101" s="63">
        <f t="shared" si="19"/>
        <v>805.04040404040404</v>
      </c>
      <c r="N101" s="64">
        <f t="shared" si="20"/>
        <v>648090.05213753704</v>
      </c>
      <c r="O101" s="20">
        <v>8.9</v>
      </c>
      <c r="P101" s="64">
        <f t="shared" si="21"/>
        <v>-1.1691919191919116</v>
      </c>
      <c r="Q101" s="63">
        <f t="shared" si="22"/>
        <v>1.1691919191919116</v>
      </c>
      <c r="R101" s="64">
        <f t="shared" si="23"/>
        <v>1.3670097439036655</v>
      </c>
    </row>
    <row r="102" spans="1:18" x14ac:dyDescent="0.2">
      <c r="A102" s="21">
        <v>50</v>
      </c>
      <c r="B102" s="21">
        <v>2</v>
      </c>
      <c r="C102" s="20">
        <v>298</v>
      </c>
      <c r="D102" s="64">
        <f t="shared" si="12"/>
        <v>-2509.8333333333335</v>
      </c>
      <c r="E102" s="63">
        <f t="shared" si="13"/>
        <v>2509.8333333333335</v>
      </c>
      <c r="F102" s="64">
        <f t="shared" si="14"/>
        <v>6299263.3611111119</v>
      </c>
      <c r="G102" s="20">
        <v>4</v>
      </c>
      <c r="H102" s="64">
        <f t="shared" si="15"/>
        <v>-32.646464646464644</v>
      </c>
      <c r="I102" s="63">
        <f t="shared" si="16"/>
        <v>32.646464646464644</v>
      </c>
      <c r="J102" s="64">
        <f t="shared" si="17"/>
        <v>1065.7916539128657</v>
      </c>
      <c r="K102" s="20">
        <v>54</v>
      </c>
      <c r="L102" s="64">
        <f t="shared" si="18"/>
        <v>-843.04040404040404</v>
      </c>
      <c r="M102" s="63">
        <f t="shared" si="19"/>
        <v>843.04040404040404</v>
      </c>
      <c r="N102" s="64">
        <f t="shared" si="20"/>
        <v>710717.12284460769</v>
      </c>
      <c r="O102" s="20">
        <v>15.12</v>
      </c>
      <c r="P102" s="64">
        <f t="shared" si="21"/>
        <v>5.0508080808080873</v>
      </c>
      <c r="Q102" s="63">
        <f t="shared" si="22"/>
        <v>5.0508080808080873</v>
      </c>
      <c r="R102" s="64">
        <f t="shared" si="23"/>
        <v>25.510662269156274</v>
      </c>
    </row>
    <row r="103" spans="1:18" x14ac:dyDescent="0.2">
      <c r="A103" s="21">
        <v>64</v>
      </c>
      <c r="B103" s="21">
        <v>2</v>
      </c>
      <c r="C103" s="20">
        <v>298</v>
      </c>
      <c r="D103" s="64">
        <f t="shared" si="12"/>
        <v>-2509.8333333333335</v>
      </c>
      <c r="E103" s="63">
        <f t="shared" si="13"/>
        <v>2509.8333333333335</v>
      </c>
      <c r="F103" s="64">
        <f t="shared" si="14"/>
        <v>6299263.3611111119</v>
      </c>
      <c r="G103" s="20">
        <v>8</v>
      </c>
      <c r="H103" s="64">
        <f t="shared" si="15"/>
        <v>-28.646464646464644</v>
      </c>
      <c r="I103" s="63">
        <f t="shared" si="16"/>
        <v>28.646464646464644</v>
      </c>
      <c r="J103" s="64">
        <f t="shared" si="17"/>
        <v>820.61993674114865</v>
      </c>
      <c r="K103" s="20">
        <v>79</v>
      </c>
      <c r="L103" s="64">
        <f t="shared" si="18"/>
        <v>-818.04040404040404</v>
      </c>
      <c r="M103" s="63">
        <f t="shared" si="19"/>
        <v>818.04040404040404</v>
      </c>
      <c r="N103" s="64">
        <f t="shared" si="20"/>
        <v>669190.1026425875</v>
      </c>
      <c r="O103" s="20">
        <v>10.33</v>
      </c>
      <c r="P103" s="64">
        <f t="shared" si="21"/>
        <v>0.26080808080808815</v>
      </c>
      <c r="Q103" s="63">
        <f t="shared" si="22"/>
        <v>0.26080808080808815</v>
      </c>
      <c r="R103" s="64">
        <f t="shared" si="23"/>
        <v>6.8020855014798237E-2</v>
      </c>
    </row>
    <row r="104" spans="1:18" x14ac:dyDescent="0.2">
      <c r="A104" s="21">
        <v>33</v>
      </c>
      <c r="B104" s="21">
        <v>2</v>
      </c>
      <c r="C104" s="20">
        <v>297</v>
      </c>
      <c r="D104" s="64">
        <f t="shared" si="12"/>
        <v>-2510.8333333333335</v>
      </c>
      <c r="E104" s="63">
        <f t="shared" si="13"/>
        <v>2510.8333333333335</v>
      </c>
      <c r="F104" s="64">
        <f t="shared" si="14"/>
        <v>6304284.0277777789</v>
      </c>
      <c r="G104" s="20">
        <v>3</v>
      </c>
      <c r="H104" s="64">
        <f t="shared" si="15"/>
        <v>-33.646464646464644</v>
      </c>
      <c r="I104" s="63">
        <f t="shared" si="16"/>
        <v>33.646464646464644</v>
      </c>
      <c r="J104" s="64">
        <f t="shared" si="17"/>
        <v>1132.0845832057951</v>
      </c>
      <c r="K104" s="20">
        <v>86</v>
      </c>
      <c r="L104" s="64">
        <f t="shared" si="18"/>
        <v>-811.04040404040404</v>
      </c>
      <c r="M104" s="63">
        <f t="shared" si="19"/>
        <v>811.04040404040404</v>
      </c>
      <c r="N104" s="64">
        <f t="shared" si="20"/>
        <v>657786.53698602179</v>
      </c>
      <c r="O104" s="20">
        <v>9.4600000000000009</v>
      </c>
      <c r="P104" s="64">
        <f t="shared" si="21"/>
        <v>-0.60919191919191107</v>
      </c>
      <c r="Q104" s="63">
        <f t="shared" si="22"/>
        <v>0.60919191919191107</v>
      </c>
      <c r="R104" s="64">
        <f t="shared" si="23"/>
        <v>0.37111479440872391</v>
      </c>
    </row>
    <row r="105" spans="1:18" x14ac:dyDescent="0.2">
      <c r="A105" s="21">
        <v>138</v>
      </c>
      <c r="B105" s="21">
        <v>2</v>
      </c>
      <c r="C105" s="20">
        <v>296</v>
      </c>
      <c r="D105" s="64">
        <f t="shared" si="12"/>
        <v>-2511.8333333333335</v>
      </c>
      <c r="E105" s="63">
        <f t="shared" si="13"/>
        <v>2511.8333333333335</v>
      </c>
      <c r="F105" s="64">
        <f t="shared" si="14"/>
        <v>6309306.694444445</v>
      </c>
      <c r="G105" s="20">
        <v>4</v>
      </c>
      <c r="H105" s="64">
        <f t="shared" si="15"/>
        <v>-32.646464646464644</v>
      </c>
      <c r="I105" s="63">
        <f t="shared" si="16"/>
        <v>32.646464646464644</v>
      </c>
      <c r="J105" s="64">
        <f t="shared" si="17"/>
        <v>1065.7916539128657</v>
      </c>
      <c r="K105" s="20">
        <v>81</v>
      </c>
      <c r="L105" s="64">
        <f t="shared" si="18"/>
        <v>-816.04040404040404</v>
      </c>
      <c r="M105" s="63">
        <f t="shared" si="19"/>
        <v>816.04040404040404</v>
      </c>
      <c r="N105" s="64">
        <f t="shared" si="20"/>
        <v>665921.94102642592</v>
      </c>
      <c r="O105" s="20">
        <v>10.01</v>
      </c>
      <c r="P105" s="64">
        <f t="shared" si="21"/>
        <v>-5.9191919191912135E-2</v>
      </c>
      <c r="Q105" s="63">
        <f t="shared" si="22"/>
        <v>5.9191919191912135E-2</v>
      </c>
      <c r="R105" s="64">
        <f t="shared" si="23"/>
        <v>3.503683297621856E-3</v>
      </c>
    </row>
    <row r="106" spans="1:18" x14ac:dyDescent="0.2">
      <c r="A106" s="21">
        <v>65</v>
      </c>
      <c r="B106" s="21">
        <v>2</v>
      </c>
      <c r="C106" s="20">
        <v>293</v>
      </c>
      <c r="D106" s="64">
        <f t="shared" si="12"/>
        <v>-2514.8333333333335</v>
      </c>
      <c r="E106" s="63">
        <f t="shared" si="13"/>
        <v>2514.8333333333335</v>
      </c>
      <c r="F106" s="64">
        <f t="shared" si="14"/>
        <v>6324386.694444445</v>
      </c>
      <c r="G106" s="20">
        <v>4</v>
      </c>
      <c r="H106" s="64">
        <f t="shared" si="15"/>
        <v>-32.646464646464644</v>
      </c>
      <c r="I106" s="63">
        <f t="shared" si="16"/>
        <v>32.646464646464644</v>
      </c>
      <c r="J106" s="64">
        <f t="shared" si="17"/>
        <v>1065.7916539128657</v>
      </c>
      <c r="K106" s="20">
        <v>83</v>
      </c>
      <c r="L106" s="64">
        <f t="shared" si="18"/>
        <v>-814.04040404040404</v>
      </c>
      <c r="M106" s="63">
        <f t="shared" si="19"/>
        <v>814.04040404040404</v>
      </c>
      <c r="N106" s="64">
        <f t="shared" si="20"/>
        <v>662661.77941026422</v>
      </c>
      <c r="O106" s="20">
        <v>9.67</v>
      </c>
      <c r="P106" s="64">
        <f t="shared" si="21"/>
        <v>-0.39919191919191199</v>
      </c>
      <c r="Q106" s="63">
        <f t="shared" si="22"/>
        <v>0.39919191919191199</v>
      </c>
      <c r="R106" s="64">
        <f t="shared" si="23"/>
        <v>0.15935418834812198</v>
      </c>
    </row>
    <row r="107" spans="1:18" x14ac:dyDescent="0.2">
      <c r="A107" s="21">
        <v>92</v>
      </c>
      <c r="B107" s="21">
        <v>2</v>
      </c>
      <c r="C107" s="20">
        <v>292</v>
      </c>
      <c r="D107" s="64">
        <f t="shared" si="12"/>
        <v>-2515.8333333333335</v>
      </c>
      <c r="E107" s="63">
        <f t="shared" si="13"/>
        <v>2515.8333333333335</v>
      </c>
      <c r="F107" s="64">
        <f t="shared" si="14"/>
        <v>6329417.3611111119</v>
      </c>
      <c r="G107" s="20">
        <v>5</v>
      </c>
      <c r="H107" s="64">
        <f t="shared" si="15"/>
        <v>-31.646464646464644</v>
      </c>
      <c r="I107" s="63">
        <f t="shared" si="16"/>
        <v>31.646464646464644</v>
      </c>
      <c r="J107" s="64">
        <f t="shared" si="17"/>
        <v>1001.4987246199365</v>
      </c>
      <c r="K107" s="20">
        <v>73</v>
      </c>
      <c r="L107" s="64">
        <f t="shared" si="18"/>
        <v>-824.04040404040404</v>
      </c>
      <c r="M107" s="63">
        <f t="shared" si="19"/>
        <v>824.04040404040404</v>
      </c>
      <c r="N107" s="64">
        <f t="shared" si="20"/>
        <v>679042.58749107237</v>
      </c>
      <c r="O107" s="20">
        <v>10.96</v>
      </c>
      <c r="P107" s="64">
        <f t="shared" si="21"/>
        <v>0.89080808080808893</v>
      </c>
      <c r="Q107" s="63">
        <f t="shared" si="22"/>
        <v>0.89080808080808893</v>
      </c>
      <c r="R107" s="64">
        <f t="shared" si="23"/>
        <v>0.79353903683299065</v>
      </c>
    </row>
    <row r="108" spans="1:18" x14ac:dyDescent="0.2">
      <c r="A108" s="21">
        <v>67</v>
      </c>
      <c r="B108" s="21">
        <v>2</v>
      </c>
      <c r="C108" s="20">
        <v>289</v>
      </c>
      <c r="D108" s="64">
        <f t="shared" si="12"/>
        <v>-2518.8333333333335</v>
      </c>
      <c r="E108" s="63">
        <f t="shared" si="13"/>
        <v>2518.8333333333335</v>
      </c>
      <c r="F108" s="64">
        <f t="shared" si="14"/>
        <v>6344521.3611111119</v>
      </c>
      <c r="G108" s="20">
        <v>3</v>
      </c>
      <c r="H108" s="64">
        <f t="shared" si="15"/>
        <v>-33.646464646464644</v>
      </c>
      <c r="I108" s="63">
        <f t="shared" si="16"/>
        <v>33.646464646464644</v>
      </c>
      <c r="J108" s="64">
        <f t="shared" si="17"/>
        <v>1132.0845832057951</v>
      </c>
      <c r="K108" s="20">
        <v>90</v>
      </c>
      <c r="L108" s="64">
        <f t="shared" si="18"/>
        <v>-807.04040404040404</v>
      </c>
      <c r="M108" s="63">
        <f t="shared" si="19"/>
        <v>807.04040404040404</v>
      </c>
      <c r="N108" s="64">
        <f t="shared" si="20"/>
        <v>651314.21375369863</v>
      </c>
      <c r="O108" s="20">
        <v>8.8000000000000007</v>
      </c>
      <c r="P108" s="64">
        <f t="shared" si="21"/>
        <v>-1.2691919191919112</v>
      </c>
      <c r="Q108" s="63">
        <f t="shared" si="22"/>
        <v>1.2691919191919112</v>
      </c>
      <c r="R108" s="64">
        <f t="shared" si="23"/>
        <v>1.6108481277420468</v>
      </c>
    </row>
    <row r="109" spans="1:18" x14ac:dyDescent="0.2">
      <c r="A109" s="21">
        <v>68</v>
      </c>
      <c r="B109" s="21">
        <v>2</v>
      </c>
      <c r="C109" s="20">
        <v>288</v>
      </c>
      <c r="D109" s="64">
        <f t="shared" si="12"/>
        <v>-2519.8333333333335</v>
      </c>
      <c r="E109" s="63">
        <f t="shared" si="13"/>
        <v>2519.8333333333335</v>
      </c>
      <c r="F109" s="64">
        <f t="shared" si="14"/>
        <v>6349560.0277777789</v>
      </c>
      <c r="G109" s="20">
        <v>2</v>
      </c>
      <c r="H109" s="64">
        <f t="shared" si="15"/>
        <v>-34.646464646464644</v>
      </c>
      <c r="I109" s="63">
        <f t="shared" si="16"/>
        <v>34.646464646464644</v>
      </c>
      <c r="J109" s="64">
        <f t="shared" si="17"/>
        <v>1200.3775124987244</v>
      </c>
      <c r="K109" s="20">
        <v>59</v>
      </c>
      <c r="L109" s="64">
        <f t="shared" si="18"/>
        <v>-838.04040404040404</v>
      </c>
      <c r="M109" s="63">
        <f t="shared" si="19"/>
        <v>838.04040404040404</v>
      </c>
      <c r="N109" s="64">
        <f t="shared" si="20"/>
        <v>702311.71880420367</v>
      </c>
      <c r="O109" s="20">
        <v>13.37</v>
      </c>
      <c r="P109" s="64">
        <f t="shared" si="21"/>
        <v>3.3008080808080873</v>
      </c>
      <c r="Q109" s="63">
        <f t="shared" si="22"/>
        <v>3.3008080808080873</v>
      </c>
      <c r="R109" s="64">
        <f t="shared" si="23"/>
        <v>10.895333986327968</v>
      </c>
    </row>
    <row r="110" spans="1:18" x14ac:dyDescent="0.2">
      <c r="A110" s="21">
        <v>46</v>
      </c>
      <c r="B110" s="21">
        <v>2</v>
      </c>
      <c r="C110" s="20">
        <v>276</v>
      </c>
      <c r="D110" s="64">
        <f t="shared" si="12"/>
        <v>-2531.8333333333335</v>
      </c>
      <c r="E110" s="63">
        <f t="shared" si="13"/>
        <v>2531.8333333333335</v>
      </c>
      <c r="F110" s="64">
        <f t="shared" si="14"/>
        <v>6410180.0277777789</v>
      </c>
      <c r="G110" s="20">
        <v>2</v>
      </c>
      <c r="H110" s="64">
        <f t="shared" si="15"/>
        <v>-34.646464646464644</v>
      </c>
      <c r="I110" s="63">
        <f t="shared" si="16"/>
        <v>34.646464646464644</v>
      </c>
      <c r="J110" s="64">
        <f t="shared" si="17"/>
        <v>1200.3775124987244</v>
      </c>
      <c r="K110" s="20">
        <v>48</v>
      </c>
      <c r="L110" s="64">
        <f t="shared" si="18"/>
        <v>-849.04040404040404</v>
      </c>
      <c r="M110" s="63">
        <f t="shared" si="19"/>
        <v>849.04040404040404</v>
      </c>
      <c r="N110" s="64">
        <f t="shared" si="20"/>
        <v>720869.60769309255</v>
      </c>
      <c r="O110" s="20">
        <v>15.75</v>
      </c>
      <c r="P110" s="64">
        <f t="shared" si="21"/>
        <v>5.6808080808080881</v>
      </c>
      <c r="Q110" s="63">
        <f t="shared" si="22"/>
        <v>5.6808080808080881</v>
      </c>
      <c r="R110" s="64">
        <f t="shared" si="23"/>
        <v>32.271580450974476</v>
      </c>
    </row>
    <row r="111" spans="1:18" x14ac:dyDescent="0.2">
      <c r="A111" s="21">
        <v>111</v>
      </c>
      <c r="B111" s="21">
        <v>2</v>
      </c>
      <c r="C111" s="20">
        <v>269</v>
      </c>
      <c r="D111" s="64">
        <f t="shared" si="12"/>
        <v>-2538.8333333333335</v>
      </c>
      <c r="E111" s="63">
        <f t="shared" si="13"/>
        <v>2538.8333333333335</v>
      </c>
      <c r="F111" s="64">
        <f t="shared" si="14"/>
        <v>6445674.694444445</v>
      </c>
      <c r="G111" s="20">
        <v>1</v>
      </c>
      <c r="H111" s="64">
        <f t="shared" si="15"/>
        <v>-35.646464646464644</v>
      </c>
      <c r="I111" s="63">
        <f t="shared" si="16"/>
        <v>35.646464646464644</v>
      </c>
      <c r="J111" s="64">
        <f t="shared" si="17"/>
        <v>1270.6704417916537</v>
      </c>
      <c r="K111" s="20">
        <v>45</v>
      </c>
      <c r="L111" s="64">
        <f t="shared" si="18"/>
        <v>-852.04040404040404</v>
      </c>
      <c r="M111" s="63">
        <f t="shared" si="19"/>
        <v>852.04040404040404</v>
      </c>
      <c r="N111" s="64">
        <f t="shared" si="20"/>
        <v>725972.85011733498</v>
      </c>
      <c r="O111" s="20">
        <v>16.38</v>
      </c>
      <c r="P111" s="64">
        <f t="shared" si="21"/>
        <v>6.3108080808080871</v>
      </c>
      <c r="Q111" s="63">
        <f t="shared" si="22"/>
        <v>6.3108080808080871</v>
      </c>
      <c r="R111" s="64">
        <f t="shared" si="23"/>
        <v>39.82629863279265</v>
      </c>
    </row>
    <row r="112" spans="1:18" x14ac:dyDescent="0.2">
      <c r="A112" s="21">
        <v>197</v>
      </c>
      <c r="B112" s="21">
        <v>2</v>
      </c>
      <c r="C112" s="20">
        <v>269</v>
      </c>
      <c r="D112" s="64">
        <f t="shared" si="12"/>
        <v>-2538.8333333333335</v>
      </c>
      <c r="E112" s="63">
        <f t="shared" si="13"/>
        <v>2538.8333333333335</v>
      </c>
      <c r="F112" s="64">
        <f t="shared" si="14"/>
        <v>6445674.694444445</v>
      </c>
      <c r="G112" s="20">
        <v>0</v>
      </c>
      <c r="H112" s="64">
        <f t="shared" si="15"/>
        <v>-36.646464646464644</v>
      </c>
      <c r="I112" s="63">
        <f t="shared" si="16"/>
        <v>36.646464646464644</v>
      </c>
      <c r="J112" s="64">
        <f t="shared" si="17"/>
        <v>1342.9633710845831</v>
      </c>
      <c r="K112" s="20">
        <v>72</v>
      </c>
      <c r="L112" s="64">
        <f t="shared" si="18"/>
        <v>-825.04040404040404</v>
      </c>
      <c r="M112" s="63">
        <f t="shared" si="19"/>
        <v>825.04040404040404</v>
      </c>
      <c r="N112" s="64">
        <f t="shared" si="20"/>
        <v>680691.6682991531</v>
      </c>
      <c r="O112" s="20">
        <v>10.24</v>
      </c>
      <c r="P112" s="64">
        <f t="shared" si="21"/>
        <v>0.17080808080808829</v>
      </c>
      <c r="Q112" s="63">
        <f t="shared" si="22"/>
        <v>0.17080808080808829</v>
      </c>
      <c r="R112" s="64">
        <f t="shared" si="23"/>
        <v>2.917540046934242E-2</v>
      </c>
    </row>
    <row r="113" spans="1:18" x14ac:dyDescent="0.2">
      <c r="A113" s="21">
        <v>70</v>
      </c>
      <c r="B113" s="21">
        <v>2</v>
      </c>
      <c r="C113" s="20">
        <v>268</v>
      </c>
      <c r="D113" s="64">
        <f t="shared" si="12"/>
        <v>-2539.8333333333335</v>
      </c>
      <c r="E113" s="63">
        <f t="shared" si="13"/>
        <v>2539.8333333333335</v>
      </c>
      <c r="F113" s="64">
        <f t="shared" si="14"/>
        <v>6450753.3611111119</v>
      </c>
      <c r="G113" s="20">
        <v>3</v>
      </c>
      <c r="H113" s="64">
        <f t="shared" si="15"/>
        <v>-33.646464646464644</v>
      </c>
      <c r="I113" s="63">
        <f t="shared" si="16"/>
        <v>33.646464646464644</v>
      </c>
      <c r="J113" s="64">
        <f t="shared" si="17"/>
        <v>1132.0845832057951</v>
      </c>
      <c r="K113" s="20">
        <v>56</v>
      </c>
      <c r="L113" s="64">
        <f t="shared" si="18"/>
        <v>-841.04040404040404</v>
      </c>
      <c r="M113" s="63">
        <f t="shared" si="19"/>
        <v>841.04040404040404</v>
      </c>
      <c r="N113" s="64">
        <f t="shared" si="20"/>
        <v>707348.9612284461</v>
      </c>
      <c r="O113" s="20">
        <v>13.11</v>
      </c>
      <c r="P113" s="64">
        <f t="shared" si="21"/>
        <v>3.0408080808080875</v>
      </c>
      <c r="Q113" s="63">
        <f t="shared" si="22"/>
        <v>3.0408080808080875</v>
      </c>
      <c r="R113" s="64">
        <f t="shared" si="23"/>
        <v>9.2465137843077638</v>
      </c>
    </row>
    <row r="114" spans="1:18" x14ac:dyDescent="0.2">
      <c r="A114" s="21">
        <v>71</v>
      </c>
      <c r="B114" s="21">
        <v>2</v>
      </c>
      <c r="C114" s="20">
        <v>267</v>
      </c>
      <c r="D114" s="64">
        <f t="shared" si="12"/>
        <v>-2540.8333333333335</v>
      </c>
      <c r="E114" s="63">
        <f t="shared" si="13"/>
        <v>2540.8333333333335</v>
      </c>
      <c r="F114" s="64">
        <f t="shared" si="14"/>
        <v>6455834.0277777789</v>
      </c>
      <c r="G114" s="20">
        <v>2</v>
      </c>
      <c r="H114" s="64">
        <f t="shared" si="15"/>
        <v>-34.646464646464644</v>
      </c>
      <c r="I114" s="63">
        <f t="shared" si="16"/>
        <v>34.646464646464644</v>
      </c>
      <c r="J114" s="64">
        <f t="shared" si="17"/>
        <v>1200.3775124987244</v>
      </c>
      <c r="K114" s="20">
        <v>71</v>
      </c>
      <c r="L114" s="64">
        <f t="shared" si="18"/>
        <v>-826.04040404040404</v>
      </c>
      <c r="M114" s="63">
        <f t="shared" si="19"/>
        <v>826.04040404040404</v>
      </c>
      <c r="N114" s="64">
        <f t="shared" si="20"/>
        <v>682342.74910723395</v>
      </c>
      <c r="O114" s="20">
        <v>10.3</v>
      </c>
      <c r="P114" s="64">
        <f t="shared" si="21"/>
        <v>0.23080808080808879</v>
      </c>
      <c r="Q114" s="63">
        <f t="shared" si="22"/>
        <v>0.23080808080808879</v>
      </c>
      <c r="R114" s="64">
        <f t="shared" si="23"/>
        <v>5.3272370166313247E-2</v>
      </c>
    </row>
    <row r="115" spans="1:18" x14ac:dyDescent="0.2">
      <c r="A115" s="21">
        <v>40</v>
      </c>
      <c r="B115" s="21">
        <v>2</v>
      </c>
      <c r="C115" s="20">
        <v>265</v>
      </c>
      <c r="D115" s="64">
        <f t="shared" si="12"/>
        <v>-2542.8333333333335</v>
      </c>
      <c r="E115" s="63">
        <f t="shared" si="13"/>
        <v>2542.8333333333335</v>
      </c>
      <c r="F115" s="64">
        <f t="shared" si="14"/>
        <v>6466001.3611111119</v>
      </c>
      <c r="G115" s="20">
        <v>3</v>
      </c>
      <c r="H115" s="64">
        <f t="shared" si="15"/>
        <v>-33.646464646464644</v>
      </c>
      <c r="I115" s="63">
        <f t="shared" si="16"/>
        <v>33.646464646464644</v>
      </c>
      <c r="J115" s="64">
        <f t="shared" si="17"/>
        <v>1132.0845832057951</v>
      </c>
      <c r="K115" s="20">
        <v>82</v>
      </c>
      <c r="L115" s="64">
        <f t="shared" si="18"/>
        <v>-815.04040404040404</v>
      </c>
      <c r="M115" s="63">
        <f t="shared" si="19"/>
        <v>815.04040404040404</v>
      </c>
      <c r="N115" s="64">
        <f t="shared" si="20"/>
        <v>664290.86021834507</v>
      </c>
      <c r="O115" s="20">
        <v>8.85</v>
      </c>
      <c r="P115" s="64">
        <f t="shared" si="21"/>
        <v>-1.2191919191919123</v>
      </c>
      <c r="Q115" s="63">
        <f t="shared" si="22"/>
        <v>1.2191919191919123</v>
      </c>
      <c r="R115" s="64">
        <f t="shared" si="23"/>
        <v>1.4864289358228584</v>
      </c>
    </row>
    <row r="116" spans="1:18" x14ac:dyDescent="0.2">
      <c r="A116" s="21">
        <v>166</v>
      </c>
      <c r="B116" s="21">
        <v>2</v>
      </c>
      <c r="C116" s="20">
        <v>261</v>
      </c>
      <c r="D116" s="64">
        <f t="shared" si="12"/>
        <v>-2546.8333333333335</v>
      </c>
      <c r="E116" s="63">
        <f t="shared" si="13"/>
        <v>2546.8333333333335</v>
      </c>
      <c r="F116" s="64">
        <f t="shared" si="14"/>
        <v>6486360.0277777789</v>
      </c>
      <c r="G116" s="20">
        <v>4</v>
      </c>
      <c r="H116" s="64">
        <f t="shared" si="15"/>
        <v>-32.646464646464644</v>
      </c>
      <c r="I116" s="63">
        <f t="shared" si="16"/>
        <v>32.646464646464644</v>
      </c>
      <c r="J116" s="64">
        <f t="shared" si="17"/>
        <v>1065.7916539128657</v>
      </c>
      <c r="K116" s="20">
        <v>49</v>
      </c>
      <c r="L116" s="64">
        <f t="shared" si="18"/>
        <v>-848.04040404040404</v>
      </c>
      <c r="M116" s="63">
        <f t="shared" si="19"/>
        <v>848.04040404040404</v>
      </c>
      <c r="N116" s="64">
        <f t="shared" si="20"/>
        <v>719172.5268850117</v>
      </c>
      <c r="O116" s="20">
        <v>14.59</v>
      </c>
      <c r="P116" s="64">
        <f t="shared" si="21"/>
        <v>4.5208080808080879</v>
      </c>
      <c r="Q116" s="63">
        <f t="shared" si="22"/>
        <v>4.5208080808080879</v>
      </c>
      <c r="R116" s="64">
        <f t="shared" si="23"/>
        <v>20.437705703499706</v>
      </c>
    </row>
    <row r="117" spans="1:18" x14ac:dyDescent="0.2">
      <c r="A117" s="21">
        <v>172</v>
      </c>
      <c r="B117" s="21">
        <v>2</v>
      </c>
      <c r="C117" s="20">
        <v>259</v>
      </c>
      <c r="D117" s="64">
        <f t="shared" si="12"/>
        <v>-2548.8333333333335</v>
      </c>
      <c r="E117" s="63">
        <f t="shared" si="13"/>
        <v>2548.8333333333335</v>
      </c>
      <c r="F117" s="64">
        <f t="shared" si="14"/>
        <v>6496551.3611111119</v>
      </c>
      <c r="G117" s="20">
        <v>3</v>
      </c>
      <c r="H117" s="64">
        <f t="shared" si="15"/>
        <v>-33.646464646464644</v>
      </c>
      <c r="I117" s="63">
        <f t="shared" si="16"/>
        <v>33.646464646464644</v>
      </c>
      <c r="J117" s="64">
        <f t="shared" si="17"/>
        <v>1132.0845832057951</v>
      </c>
      <c r="K117" s="20">
        <v>77</v>
      </c>
      <c r="L117" s="64">
        <f t="shared" si="18"/>
        <v>-820.04040404040404</v>
      </c>
      <c r="M117" s="63">
        <f t="shared" si="19"/>
        <v>820.04040404040404</v>
      </c>
      <c r="N117" s="64">
        <f t="shared" si="20"/>
        <v>672466.26425874908</v>
      </c>
      <c r="O117" s="20">
        <v>9.2100000000000009</v>
      </c>
      <c r="P117" s="64">
        <f t="shared" si="21"/>
        <v>-0.85919191919191107</v>
      </c>
      <c r="Q117" s="63">
        <f t="shared" si="22"/>
        <v>0.85919191919191107</v>
      </c>
      <c r="R117" s="64">
        <f t="shared" si="23"/>
        <v>0.73821075400467939</v>
      </c>
    </row>
    <row r="118" spans="1:18" x14ac:dyDescent="0.2">
      <c r="A118" s="21">
        <v>30</v>
      </c>
      <c r="B118" s="21">
        <v>2</v>
      </c>
      <c r="C118" s="20">
        <v>253</v>
      </c>
      <c r="D118" s="64">
        <f t="shared" si="12"/>
        <v>-2554.8333333333335</v>
      </c>
      <c r="E118" s="63">
        <f t="shared" si="13"/>
        <v>2554.8333333333335</v>
      </c>
      <c r="F118" s="64">
        <f t="shared" si="14"/>
        <v>6527173.3611111119</v>
      </c>
      <c r="G118" s="20">
        <v>4</v>
      </c>
      <c r="H118" s="64">
        <f t="shared" si="15"/>
        <v>-32.646464646464644</v>
      </c>
      <c r="I118" s="63">
        <f t="shared" si="16"/>
        <v>32.646464646464644</v>
      </c>
      <c r="J118" s="64">
        <f t="shared" si="17"/>
        <v>1065.7916539128657</v>
      </c>
      <c r="K118" s="20">
        <v>65</v>
      </c>
      <c r="L118" s="64">
        <f t="shared" si="18"/>
        <v>-832.04040404040404</v>
      </c>
      <c r="M118" s="63">
        <f t="shared" si="19"/>
        <v>832.04040404040404</v>
      </c>
      <c r="N118" s="64">
        <f t="shared" si="20"/>
        <v>692291.23395571881</v>
      </c>
      <c r="O118" s="20">
        <v>10.66</v>
      </c>
      <c r="P118" s="64">
        <f t="shared" si="21"/>
        <v>0.59080808080808822</v>
      </c>
      <c r="Q118" s="63">
        <f t="shared" si="22"/>
        <v>0.59080808080808822</v>
      </c>
      <c r="R118" s="64">
        <f t="shared" si="23"/>
        <v>0.34905418834813651</v>
      </c>
    </row>
    <row r="119" spans="1:18" x14ac:dyDescent="0.2">
      <c r="A119" s="21">
        <v>73</v>
      </c>
      <c r="B119" s="21">
        <v>2</v>
      </c>
      <c r="C119" s="20">
        <v>253</v>
      </c>
      <c r="D119" s="64">
        <f t="shared" si="12"/>
        <v>-2554.8333333333335</v>
      </c>
      <c r="E119" s="63">
        <f t="shared" si="13"/>
        <v>2554.8333333333335</v>
      </c>
      <c r="F119" s="64">
        <f t="shared" si="14"/>
        <v>6527173.3611111119</v>
      </c>
      <c r="G119" s="20">
        <v>6</v>
      </c>
      <c r="H119" s="64">
        <f t="shared" si="15"/>
        <v>-30.646464646464644</v>
      </c>
      <c r="I119" s="63">
        <f t="shared" si="16"/>
        <v>30.646464646464644</v>
      </c>
      <c r="J119" s="64">
        <f t="shared" si="17"/>
        <v>939.20579532700731</v>
      </c>
      <c r="K119" s="20">
        <v>80</v>
      </c>
      <c r="L119" s="64">
        <f t="shared" si="18"/>
        <v>-817.04040404040404</v>
      </c>
      <c r="M119" s="63">
        <f t="shared" si="19"/>
        <v>817.04040404040404</v>
      </c>
      <c r="N119" s="64">
        <f t="shared" si="20"/>
        <v>667555.02183450665</v>
      </c>
      <c r="O119" s="20">
        <v>8.66</v>
      </c>
      <c r="P119" s="64">
        <f t="shared" si="21"/>
        <v>-1.4091919191919118</v>
      </c>
      <c r="Q119" s="63">
        <f t="shared" si="22"/>
        <v>1.4091919191919118</v>
      </c>
      <c r="R119" s="64">
        <f t="shared" si="23"/>
        <v>1.9858218651157835</v>
      </c>
    </row>
    <row r="120" spans="1:18" x14ac:dyDescent="0.2">
      <c r="A120" s="21">
        <v>15</v>
      </c>
      <c r="B120" s="21">
        <v>2</v>
      </c>
      <c r="C120" s="20">
        <v>245</v>
      </c>
      <c r="D120" s="64">
        <f t="shared" si="12"/>
        <v>-2562.8333333333335</v>
      </c>
      <c r="E120" s="63">
        <f t="shared" si="13"/>
        <v>2562.8333333333335</v>
      </c>
      <c r="F120" s="64">
        <f t="shared" si="14"/>
        <v>6568114.694444445</v>
      </c>
      <c r="G120" s="20">
        <v>2</v>
      </c>
      <c r="H120" s="64">
        <f t="shared" si="15"/>
        <v>-34.646464646464644</v>
      </c>
      <c r="I120" s="63">
        <f t="shared" si="16"/>
        <v>34.646464646464644</v>
      </c>
      <c r="J120" s="64">
        <f t="shared" si="17"/>
        <v>1200.3775124987244</v>
      </c>
      <c r="K120" s="20">
        <v>93</v>
      </c>
      <c r="L120" s="64">
        <f t="shared" si="18"/>
        <v>-804.04040404040404</v>
      </c>
      <c r="M120" s="63">
        <f t="shared" si="19"/>
        <v>804.04040404040404</v>
      </c>
      <c r="N120" s="64">
        <f t="shared" si="20"/>
        <v>646480.9713294562</v>
      </c>
      <c r="O120" s="20">
        <v>7.22</v>
      </c>
      <c r="P120" s="64">
        <f t="shared" si="21"/>
        <v>-2.8491919191919122</v>
      </c>
      <c r="Q120" s="63">
        <f t="shared" si="22"/>
        <v>2.8491919191919122</v>
      </c>
      <c r="R120" s="64">
        <f t="shared" si="23"/>
        <v>8.1178945923884918</v>
      </c>
    </row>
    <row r="121" spans="1:18" x14ac:dyDescent="0.2">
      <c r="A121" s="21">
        <v>54</v>
      </c>
      <c r="B121" s="21">
        <v>2</v>
      </c>
      <c r="C121" s="20">
        <v>245</v>
      </c>
      <c r="D121" s="64">
        <f t="shared" si="12"/>
        <v>-2562.8333333333335</v>
      </c>
      <c r="E121" s="63">
        <f t="shared" si="13"/>
        <v>2562.8333333333335</v>
      </c>
      <c r="F121" s="64">
        <f t="shared" si="14"/>
        <v>6568114.694444445</v>
      </c>
      <c r="G121" s="20">
        <v>2</v>
      </c>
      <c r="H121" s="64">
        <f t="shared" si="15"/>
        <v>-34.646464646464644</v>
      </c>
      <c r="I121" s="63">
        <f t="shared" si="16"/>
        <v>34.646464646464644</v>
      </c>
      <c r="J121" s="64">
        <f t="shared" si="17"/>
        <v>1200.3775124987244</v>
      </c>
      <c r="K121" s="20">
        <v>132</v>
      </c>
      <c r="L121" s="64">
        <f t="shared" si="18"/>
        <v>-765.04040404040404</v>
      </c>
      <c r="M121" s="63">
        <f t="shared" si="19"/>
        <v>765.04040404040404</v>
      </c>
      <c r="N121" s="64">
        <f t="shared" si="20"/>
        <v>585286.8198143047</v>
      </c>
      <c r="O121" s="20">
        <v>5.09</v>
      </c>
      <c r="P121" s="64">
        <f t="shared" si="21"/>
        <v>-4.9791919191919121</v>
      </c>
      <c r="Q121" s="63">
        <f t="shared" si="22"/>
        <v>4.9791919191919121</v>
      </c>
      <c r="R121" s="64">
        <f t="shared" si="23"/>
        <v>24.792352168146035</v>
      </c>
    </row>
    <row r="122" spans="1:18" x14ac:dyDescent="0.2">
      <c r="A122" s="21">
        <v>74</v>
      </c>
      <c r="B122" s="21">
        <v>2</v>
      </c>
      <c r="C122" s="20">
        <v>245</v>
      </c>
      <c r="D122" s="64">
        <f t="shared" si="12"/>
        <v>-2562.8333333333335</v>
      </c>
      <c r="E122" s="63">
        <f t="shared" si="13"/>
        <v>2562.8333333333335</v>
      </c>
      <c r="F122" s="64">
        <f t="shared" si="14"/>
        <v>6568114.694444445</v>
      </c>
      <c r="G122" s="20">
        <v>4</v>
      </c>
      <c r="H122" s="64">
        <f t="shared" si="15"/>
        <v>-32.646464646464644</v>
      </c>
      <c r="I122" s="63">
        <f t="shared" si="16"/>
        <v>32.646464646464644</v>
      </c>
      <c r="J122" s="64">
        <f t="shared" si="17"/>
        <v>1065.7916539128657</v>
      </c>
      <c r="K122" s="20">
        <v>73</v>
      </c>
      <c r="L122" s="64">
        <f t="shared" si="18"/>
        <v>-824.04040404040404</v>
      </c>
      <c r="M122" s="63">
        <f t="shared" si="19"/>
        <v>824.04040404040404</v>
      </c>
      <c r="N122" s="64">
        <f t="shared" si="20"/>
        <v>679042.58749107237</v>
      </c>
      <c r="O122" s="20">
        <v>9.19</v>
      </c>
      <c r="P122" s="64">
        <f t="shared" si="21"/>
        <v>-0.87919191919191242</v>
      </c>
      <c r="Q122" s="63">
        <f t="shared" si="22"/>
        <v>0.87919191919191242</v>
      </c>
      <c r="R122" s="64">
        <f t="shared" si="23"/>
        <v>0.77297843077235828</v>
      </c>
    </row>
    <row r="123" spans="1:18" x14ac:dyDescent="0.2">
      <c r="A123" s="21">
        <v>75</v>
      </c>
      <c r="B123" s="21">
        <v>2</v>
      </c>
      <c r="C123" s="20">
        <v>237</v>
      </c>
      <c r="D123" s="64">
        <f t="shared" si="12"/>
        <v>-2570.8333333333335</v>
      </c>
      <c r="E123" s="63">
        <f t="shared" si="13"/>
        <v>2570.8333333333335</v>
      </c>
      <c r="F123" s="64">
        <f t="shared" si="14"/>
        <v>6609184.0277777789</v>
      </c>
      <c r="G123" s="20">
        <v>7</v>
      </c>
      <c r="H123" s="64">
        <f t="shared" si="15"/>
        <v>-29.646464646464644</v>
      </c>
      <c r="I123" s="63">
        <f t="shared" si="16"/>
        <v>29.646464646464644</v>
      </c>
      <c r="J123" s="64">
        <f t="shared" si="17"/>
        <v>878.91286603407798</v>
      </c>
      <c r="K123" s="20">
        <v>62</v>
      </c>
      <c r="L123" s="64">
        <f t="shared" si="18"/>
        <v>-835.04040404040404</v>
      </c>
      <c r="M123" s="63">
        <f t="shared" si="19"/>
        <v>835.04040404040404</v>
      </c>
      <c r="N123" s="64">
        <f t="shared" si="20"/>
        <v>697292.47637996124</v>
      </c>
      <c r="O123" s="20">
        <v>10.47</v>
      </c>
      <c r="P123" s="64">
        <f t="shared" si="21"/>
        <v>0.40080808080808872</v>
      </c>
      <c r="Q123" s="63">
        <f t="shared" si="22"/>
        <v>0.40080808080808872</v>
      </c>
      <c r="R123" s="64">
        <f t="shared" si="23"/>
        <v>0.16064711764106337</v>
      </c>
    </row>
    <row r="124" spans="1:18" x14ac:dyDescent="0.2">
      <c r="A124" s="21">
        <v>76</v>
      </c>
      <c r="B124" s="21">
        <v>2</v>
      </c>
      <c r="C124" s="20">
        <v>237</v>
      </c>
      <c r="D124" s="64">
        <f t="shared" si="12"/>
        <v>-2570.8333333333335</v>
      </c>
      <c r="E124" s="63">
        <f t="shared" si="13"/>
        <v>2570.8333333333335</v>
      </c>
      <c r="F124" s="64">
        <f t="shared" si="14"/>
        <v>6609184.0277777789</v>
      </c>
      <c r="G124" s="20">
        <v>8</v>
      </c>
      <c r="H124" s="64">
        <f t="shared" si="15"/>
        <v>-28.646464646464644</v>
      </c>
      <c r="I124" s="63">
        <f t="shared" si="16"/>
        <v>28.646464646464644</v>
      </c>
      <c r="J124" s="64">
        <f t="shared" si="17"/>
        <v>820.61993674114865</v>
      </c>
      <c r="K124" s="20">
        <v>67</v>
      </c>
      <c r="L124" s="64">
        <f t="shared" si="18"/>
        <v>-830.04040404040404</v>
      </c>
      <c r="M124" s="63">
        <f t="shared" si="19"/>
        <v>830.04040404040404</v>
      </c>
      <c r="N124" s="64">
        <f t="shared" si="20"/>
        <v>688967.07233955723</v>
      </c>
      <c r="O124" s="20">
        <v>9.69</v>
      </c>
      <c r="P124" s="64">
        <f t="shared" si="21"/>
        <v>-0.37919191919191242</v>
      </c>
      <c r="Q124" s="63">
        <f t="shared" si="22"/>
        <v>0.37919191919191242</v>
      </c>
      <c r="R124" s="64">
        <f t="shared" si="23"/>
        <v>0.14378651158044584</v>
      </c>
    </row>
    <row r="125" spans="1:18" x14ac:dyDescent="0.2">
      <c r="A125" s="21">
        <v>177</v>
      </c>
      <c r="B125" s="21">
        <v>2</v>
      </c>
      <c r="C125" s="20">
        <v>232</v>
      </c>
      <c r="D125" s="64">
        <f t="shared" si="12"/>
        <v>-2575.8333333333335</v>
      </c>
      <c r="E125" s="63">
        <f t="shared" si="13"/>
        <v>2575.8333333333335</v>
      </c>
      <c r="F125" s="64">
        <f t="shared" si="14"/>
        <v>6634917.3611111119</v>
      </c>
      <c r="G125" s="20">
        <v>3</v>
      </c>
      <c r="H125" s="64">
        <f t="shared" si="15"/>
        <v>-33.646464646464644</v>
      </c>
      <c r="I125" s="63">
        <f t="shared" si="16"/>
        <v>33.646464646464644</v>
      </c>
      <c r="J125" s="64">
        <f t="shared" si="17"/>
        <v>1132.0845832057951</v>
      </c>
      <c r="K125" s="20">
        <v>69</v>
      </c>
      <c r="L125" s="64">
        <f t="shared" si="18"/>
        <v>-828.04040404040404</v>
      </c>
      <c r="M125" s="63">
        <f t="shared" si="19"/>
        <v>828.04040404040404</v>
      </c>
      <c r="N125" s="64">
        <f t="shared" si="20"/>
        <v>685650.91072339553</v>
      </c>
      <c r="O125" s="20">
        <v>9.2100000000000009</v>
      </c>
      <c r="P125" s="64">
        <f t="shared" si="21"/>
        <v>-0.85919191919191107</v>
      </c>
      <c r="Q125" s="63">
        <f t="shared" si="22"/>
        <v>0.85919191919191107</v>
      </c>
      <c r="R125" s="64">
        <f t="shared" si="23"/>
        <v>0.73821075400467939</v>
      </c>
    </row>
    <row r="126" spans="1:18" x14ac:dyDescent="0.2">
      <c r="A126" s="21">
        <v>78</v>
      </c>
      <c r="B126" s="21">
        <v>2</v>
      </c>
      <c r="C126" s="20">
        <v>230</v>
      </c>
      <c r="D126" s="64">
        <f t="shared" si="12"/>
        <v>-2577.8333333333335</v>
      </c>
      <c r="E126" s="63">
        <f t="shared" si="13"/>
        <v>2577.8333333333335</v>
      </c>
      <c r="F126" s="64">
        <f t="shared" si="14"/>
        <v>6645224.694444445</v>
      </c>
      <c r="G126" s="20">
        <v>4</v>
      </c>
      <c r="H126" s="64">
        <f t="shared" si="15"/>
        <v>-32.646464646464644</v>
      </c>
      <c r="I126" s="63">
        <f t="shared" si="16"/>
        <v>32.646464646464644</v>
      </c>
      <c r="J126" s="64">
        <f t="shared" si="17"/>
        <v>1065.7916539128657</v>
      </c>
      <c r="K126" s="20">
        <v>75</v>
      </c>
      <c r="L126" s="64">
        <f t="shared" si="18"/>
        <v>-822.04040404040404</v>
      </c>
      <c r="M126" s="63">
        <f t="shared" si="19"/>
        <v>822.04040404040404</v>
      </c>
      <c r="N126" s="64">
        <f t="shared" si="20"/>
        <v>675750.42587491078</v>
      </c>
      <c r="O126" s="20">
        <v>8.4</v>
      </c>
      <c r="P126" s="64">
        <f t="shared" si="21"/>
        <v>-1.6691919191919116</v>
      </c>
      <c r="Q126" s="63">
        <f t="shared" si="22"/>
        <v>1.6691919191919116</v>
      </c>
      <c r="R126" s="64">
        <f t="shared" si="23"/>
        <v>2.7862016630955768</v>
      </c>
    </row>
    <row r="127" spans="1:18" x14ac:dyDescent="0.2">
      <c r="A127" s="21">
        <v>191</v>
      </c>
      <c r="B127" s="21">
        <v>2</v>
      </c>
      <c r="C127" s="20">
        <v>230</v>
      </c>
      <c r="D127" s="64">
        <f t="shared" si="12"/>
        <v>-2577.8333333333335</v>
      </c>
      <c r="E127" s="63">
        <f t="shared" si="13"/>
        <v>2577.8333333333335</v>
      </c>
      <c r="F127" s="64">
        <f t="shared" si="14"/>
        <v>6645224.694444445</v>
      </c>
      <c r="G127" s="20">
        <v>2</v>
      </c>
      <c r="H127" s="64">
        <f t="shared" si="15"/>
        <v>-34.646464646464644</v>
      </c>
      <c r="I127" s="63">
        <f t="shared" si="16"/>
        <v>34.646464646464644</v>
      </c>
      <c r="J127" s="64">
        <f t="shared" si="17"/>
        <v>1200.3775124987244</v>
      </c>
      <c r="K127" s="20">
        <v>69</v>
      </c>
      <c r="L127" s="64">
        <f t="shared" si="18"/>
        <v>-828.04040404040404</v>
      </c>
      <c r="M127" s="63">
        <f t="shared" si="19"/>
        <v>828.04040404040404</v>
      </c>
      <c r="N127" s="64">
        <f t="shared" si="20"/>
        <v>685650.91072339553</v>
      </c>
      <c r="O127" s="20">
        <v>9.1300000000000008</v>
      </c>
      <c r="P127" s="64">
        <f t="shared" si="21"/>
        <v>-0.93919191919191114</v>
      </c>
      <c r="Q127" s="63">
        <f t="shared" si="22"/>
        <v>0.93919191919191114</v>
      </c>
      <c r="R127" s="64">
        <f t="shared" si="23"/>
        <v>0.88208146107538532</v>
      </c>
    </row>
    <row r="128" spans="1:18" x14ac:dyDescent="0.2">
      <c r="A128" s="21">
        <v>22</v>
      </c>
      <c r="B128" s="21">
        <v>2</v>
      </c>
      <c r="C128" s="20">
        <v>227</v>
      </c>
      <c r="D128" s="64">
        <f t="shared" si="12"/>
        <v>-2580.8333333333335</v>
      </c>
      <c r="E128" s="63">
        <f t="shared" si="13"/>
        <v>2580.8333333333335</v>
      </c>
      <c r="F128" s="64">
        <f t="shared" si="14"/>
        <v>6660700.694444445</v>
      </c>
      <c r="G128" s="20">
        <v>2</v>
      </c>
      <c r="H128" s="64">
        <f t="shared" si="15"/>
        <v>-34.646464646464644</v>
      </c>
      <c r="I128" s="63">
        <f t="shared" si="16"/>
        <v>34.646464646464644</v>
      </c>
      <c r="J128" s="64">
        <f t="shared" si="17"/>
        <v>1200.3775124987244</v>
      </c>
      <c r="K128" s="20">
        <v>52</v>
      </c>
      <c r="L128" s="64">
        <f t="shared" si="18"/>
        <v>-845.04040404040404</v>
      </c>
      <c r="M128" s="63">
        <f t="shared" si="19"/>
        <v>845.04040404040404</v>
      </c>
      <c r="N128" s="64">
        <f t="shared" si="20"/>
        <v>714093.28446076927</v>
      </c>
      <c r="O128" s="20">
        <v>11.96</v>
      </c>
      <c r="P128" s="64">
        <f t="shared" si="21"/>
        <v>1.8908080808080889</v>
      </c>
      <c r="Q128" s="63">
        <f t="shared" si="22"/>
        <v>1.8908080808080889</v>
      </c>
      <c r="R128" s="64">
        <f t="shared" si="23"/>
        <v>3.5751551984491687</v>
      </c>
    </row>
    <row r="129" spans="1:18" x14ac:dyDescent="0.2">
      <c r="A129" s="21">
        <v>146</v>
      </c>
      <c r="B129" s="21">
        <v>2</v>
      </c>
      <c r="C129" s="20">
        <v>227</v>
      </c>
      <c r="D129" s="64">
        <f t="shared" si="12"/>
        <v>-2580.8333333333335</v>
      </c>
      <c r="E129" s="63">
        <f t="shared" si="13"/>
        <v>2580.8333333333335</v>
      </c>
      <c r="F129" s="64">
        <f t="shared" si="14"/>
        <v>6660700.694444445</v>
      </c>
      <c r="G129" s="20">
        <v>1</v>
      </c>
      <c r="H129" s="64">
        <f t="shared" si="15"/>
        <v>-35.646464646464644</v>
      </c>
      <c r="I129" s="63">
        <f t="shared" si="16"/>
        <v>35.646464646464644</v>
      </c>
      <c r="J129" s="64">
        <f t="shared" si="17"/>
        <v>1270.6704417916537</v>
      </c>
      <c r="K129" s="20">
        <v>78</v>
      </c>
      <c r="L129" s="64">
        <f t="shared" si="18"/>
        <v>-819.04040404040404</v>
      </c>
      <c r="M129" s="63">
        <f t="shared" si="19"/>
        <v>819.04040404040404</v>
      </c>
      <c r="N129" s="64">
        <f t="shared" si="20"/>
        <v>670827.18345066835</v>
      </c>
      <c r="O129" s="20">
        <v>7.97</v>
      </c>
      <c r="P129" s="64">
        <f t="shared" si="21"/>
        <v>-2.0991919191919122</v>
      </c>
      <c r="Q129" s="63">
        <f t="shared" si="22"/>
        <v>2.0991919191919122</v>
      </c>
      <c r="R129" s="64">
        <f t="shared" si="23"/>
        <v>4.4066067136006239</v>
      </c>
    </row>
    <row r="130" spans="1:18" x14ac:dyDescent="0.2">
      <c r="A130" s="21">
        <v>80</v>
      </c>
      <c r="B130" s="21">
        <v>2</v>
      </c>
      <c r="C130" s="20">
        <v>222</v>
      </c>
      <c r="D130" s="64">
        <f t="shared" si="12"/>
        <v>-2585.8333333333335</v>
      </c>
      <c r="E130" s="63">
        <f t="shared" si="13"/>
        <v>2585.8333333333335</v>
      </c>
      <c r="F130" s="64">
        <f t="shared" si="14"/>
        <v>6686534.0277777789</v>
      </c>
      <c r="G130" s="20">
        <v>1</v>
      </c>
      <c r="H130" s="64">
        <f t="shared" si="15"/>
        <v>-35.646464646464644</v>
      </c>
      <c r="I130" s="63">
        <f t="shared" si="16"/>
        <v>35.646464646464644</v>
      </c>
      <c r="J130" s="64">
        <f t="shared" si="17"/>
        <v>1270.6704417916537</v>
      </c>
      <c r="K130" s="20">
        <v>74</v>
      </c>
      <c r="L130" s="64">
        <f t="shared" si="18"/>
        <v>-823.04040404040404</v>
      </c>
      <c r="M130" s="63">
        <f t="shared" si="19"/>
        <v>823.04040404040404</v>
      </c>
      <c r="N130" s="64">
        <f t="shared" si="20"/>
        <v>677395.50668299152</v>
      </c>
      <c r="O130" s="20">
        <v>8.2200000000000006</v>
      </c>
      <c r="P130" s="64">
        <f t="shared" si="21"/>
        <v>-1.8491919191919113</v>
      </c>
      <c r="Q130" s="63">
        <f t="shared" si="22"/>
        <v>1.8491919191919113</v>
      </c>
      <c r="R130" s="64">
        <f t="shared" si="23"/>
        <v>3.4195107540046643</v>
      </c>
    </row>
    <row r="131" spans="1:18" x14ac:dyDescent="0.2">
      <c r="A131" s="21">
        <v>181</v>
      </c>
      <c r="B131" s="21">
        <v>2</v>
      </c>
      <c r="C131" s="20">
        <v>222</v>
      </c>
      <c r="D131" s="64">
        <f t="shared" si="12"/>
        <v>-2585.8333333333335</v>
      </c>
      <c r="E131" s="63">
        <f t="shared" si="13"/>
        <v>2585.8333333333335</v>
      </c>
      <c r="F131" s="64">
        <f t="shared" si="14"/>
        <v>6686534.0277777789</v>
      </c>
      <c r="G131" s="20">
        <v>3</v>
      </c>
      <c r="H131" s="64">
        <f t="shared" si="15"/>
        <v>-33.646464646464644</v>
      </c>
      <c r="I131" s="63">
        <f t="shared" si="16"/>
        <v>33.646464646464644</v>
      </c>
      <c r="J131" s="64">
        <f t="shared" si="17"/>
        <v>1132.0845832057951</v>
      </c>
      <c r="K131" s="20">
        <v>65</v>
      </c>
      <c r="L131" s="64">
        <f t="shared" si="18"/>
        <v>-832.04040404040404</v>
      </c>
      <c r="M131" s="63">
        <f t="shared" si="19"/>
        <v>832.04040404040404</v>
      </c>
      <c r="N131" s="64">
        <f t="shared" si="20"/>
        <v>692291.23395571881</v>
      </c>
      <c r="O131" s="20">
        <v>9.36</v>
      </c>
      <c r="P131" s="64">
        <f t="shared" si="21"/>
        <v>-0.70919191919191249</v>
      </c>
      <c r="Q131" s="63">
        <f t="shared" si="22"/>
        <v>0.70919191919191249</v>
      </c>
      <c r="R131" s="64">
        <f t="shared" si="23"/>
        <v>0.50295317824710817</v>
      </c>
    </row>
    <row r="132" spans="1:18" x14ac:dyDescent="0.2">
      <c r="A132" s="21">
        <v>83</v>
      </c>
      <c r="B132" s="21">
        <v>2</v>
      </c>
      <c r="C132" s="20">
        <v>209</v>
      </c>
      <c r="D132" s="64">
        <f t="shared" si="12"/>
        <v>-2598.8333333333335</v>
      </c>
      <c r="E132" s="63">
        <f t="shared" si="13"/>
        <v>2598.8333333333335</v>
      </c>
      <c r="F132" s="64">
        <f t="shared" si="14"/>
        <v>6753934.694444445</v>
      </c>
      <c r="G132" s="20">
        <v>1</v>
      </c>
      <c r="H132" s="64">
        <f t="shared" si="15"/>
        <v>-35.646464646464644</v>
      </c>
      <c r="I132" s="63">
        <f t="shared" si="16"/>
        <v>35.646464646464644</v>
      </c>
      <c r="J132" s="64">
        <f t="shared" si="17"/>
        <v>1270.6704417916537</v>
      </c>
      <c r="K132" s="20">
        <v>79</v>
      </c>
      <c r="L132" s="64">
        <f t="shared" si="18"/>
        <v>-818.04040404040404</v>
      </c>
      <c r="M132" s="63">
        <f t="shared" si="19"/>
        <v>818.04040404040404</v>
      </c>
      <c r="N132" s="64">
        <f t="shared" si="20"/>
        <v>669190.1026425875</v>
      </c>
      <c r="O132" s="20">
        <v>7.25</v>
      </c>
      <c r="P132" s="64">
        <f t="shared" si="21"/>
        <v>-2.8191919191919119</v>
      </c>
      <c r="Q132" s="63">
        <f t="shared" si="22"/>
        <v>2.8191919191919119</v>
      </c>
      <c r="R132" s="64">
        <f t="shared" si="23"/>
        <v>7.9478430772369757</v>
      </c>
    </row>
    <row r="133" spans="1:18" x14ac:dyDescent="0.2">
      <c r="A133" s="21">
        <v>95</v>
      </c>
      <c r="B133" s="21">
        <v>2</v>
      </c>
      <c r="C133" s="20">
        <v>209</v>
      </c>
      <c r="D133" s="64">
        <f t="shared" si="12"/>
        <v>-2598.8333333333335</v>
      </c>
      <c r="E133" s="63">
        <f t="shared" si="13"/>
        <v>2598.8333333333335</v>
      </c>
      <c r="F133" s="64">
        <f t="shared" si="14"/>
        <v>6753934.694444445</v>
      </c>
      <c r="G133" s="20">
        <v>5</v>
      </c>
      <c r="H133" s="64">
        <f t="shared" si="15"/>
        <v>-31.646464646464644</v>
      </c>
      <c r="I133" s="63">
        <f t="shared" si="16"/>
        <v>31.646464646464644</v>
      </c>
      <c r="J133" s="64">
        <f t="shared" si="17"/>
        <v>1001.4987246199365</v>
      </c>
      <c r="K133" s="20">
        <v>72</v>
      </c>
      <c r="L133" s="64">
        <f t="shared" si="18"/>
        <v>-825.04040404040404</v>
      </c>
      <c r="M133" s="63">
        <f t="shared" si="19"/>
        <v>825.04040404040404</v>
      </c>
      <c r="N133" s="64">
        <f t="shared" si="20"/>
        <v>680691.6682991531</v>
      </c>
      <c r="O133" s="20">
        <v>7.95</v>
      </c>
      <c r="P133" s="64">
        <f t="shared" si="21"/>
        <v>-2.1191919191919117</v>
      </c>
      <c r="Q133" s="63">
        <f t="shared" si="22"/>
        <v>2.1191919191919117</v>
      </c>
      <c r="R133" s="64">
        <f t="shared" si="23"/>
        <v>4.4909743903682982</v>
      </c>
    </row>
    <row r="134" spans="1:18" x14ac:dyDescent="0.2">
      <c r="A134" s="21">
        <v>148</v>
      </c>
      <c r="B134" s="21">
        <v>2</v>
      </c>
      <c r="C134" s="20">
        <v>208</v>
      </c>
      <c r="D134" s="64">
        <f t="shared" ref="D134:D197" si="24">C134-$C$212</f>
        <v>-2599.8333333333335</v>
      </c>
      <c r="E134" s="63">
        <f t="shared" ref="E134:E197" si="25">ABS(D134)</f>
        <v>2599.8333333333335</v>
      </c>
      <c r="F134" s="64">
        <f t="shared" ref="F134:F197" si="26">POWER(E134,2)</f>
        <v>6759133.3611111119</v>
      </c>
      <c r="G134" s="20">
        <v>3</v>
      </c>
      <c r="H134" s="64">
        <f t="shared" ref="H134:H197" si="27">G134-$C$213</f>
        <v>-33.646464646464644</v>
      </c>
      <c r="I134" s="63">
        <f t="shared" ref="I134:I197" si="28">ABS(H134)</f>
        <v>33.646464646464644</v>
      </c>
      <c r="J134" s="64">
        <f t="shared" ref="J134:J197" si="29">POWER(I134,2)</f>
        <v>1132.0845832057951</v>
      </c>
      <c r="K134" s="20">
        <v>44</v>
      </c>
      <c r="L134" s="64">
        <f t="shared" ref="L134:L197" si="30">K134-$C$214</f>
        <v>-853.04040404040404</v>
      </c>
      <c r="M134" s="63">
        <f t="shared" ref="M134:M197" si="31">ABS(L134)</f>
        <v>853.04040404040404</v>
      </c>
      <c r="N134" s="64">
        <f t="shared" ref="N134:N197" si="32">POWER(M134,2)</f>
        <v>727677.93092541583</v>
      </c>
      <c r="O134" s="20">
        <v>12.95</v>
      </c>
      <c r="P134" s="64">
        <f t="shared" ref="P134:P197" si="33">O134-$C$215</f>
        <v>2.8808080808080874</v>
      </c>
      <c r="Q134" s="63">
        <f t="shared" ref="Q134:Q197" si="34">ABS(P134)</f>
        <v>2.8808080808080874</v>
      </c>
      <c r="R134" s="64">
        <f t="shared" ref="R134:R197" si="35">POWER(Q134,2)</f>
        <v>8.2990551984491763</v>
      </c>
    </row>
    <row r="135" spans="1:18" x14ac:dyDescent="0.2">
      <c r="A135" s="21">
        <v>23</v>
      </c>
      <c r="B135" s="21">
        <v>2</v>
      </c>
      <c r="C135" s="20">
        <v>205</v>
      </c>
      <c r="D135" s="64">
        <f t="shared" si="24"/>
        <v>-2602.8333333333335</v>
      </c>
      <c r="E135" s="63">
        <f t="shared" si="25"/>
        <v>2602.8333333333335</v>
      </c>
      <c r="F135" s="64">
        <f t="shared" si="26"/>
        <v>6774741.3611111119</v>
      </c>
      <c r="G135" s="20">
        <v>4</v>
      </c>
      <c r="H135" s="64">
        <f t="shared" si="27"/>
        <v>-32.646464646464644</v>
      </c>
      <c r="I135" s="63">
        <f t="shared" si="28"/>
        <v>32.646464646464644</v>
      </c>
      <c r="J135" s="64">
        <f t="shared" si="29"/>
        <v>1065.7916539128657</v>
      </c>
      <c r="K135" s="20">
        <v>36</v>
      </c>
      <c r="L135" s="64">
        <f t="shared" si="30"/>
        <v>-861.04040404040404</v>
      </c>
      <c r="M135" s="63">
        <f t="shared" si="31"/>
        <v>861.04040404040404</v>
      </c>
      <c r="N135" s="64">
        <f t="shared" si="32"/>
        <v>741390.57739006227</v>
      </c>
      <c r="O135" s="20">
        <v>15.6</v>
      </c>
      <c r="P135" s="64">
        <f t="shared" si="33"/>
        <v>5.5308080808080877</v>
      </c>
      <c r="Q135" s="63">
        <f t="shared" si="34"/>
        <v>5.5308080808080877</v>
      </c>
      <c r="R135" s="64">
        <f t="shared" si="35"/>
        <v>30.589838026732043</v>
      </c>
    </row>
    <row r="136" spans="1:18" x14ac:dyDescent="0.2">
      <c r="A136" s="21">
        <v>84</v>
      </c>
      <c r="B136" s="21">
        <v>2</v>
      </c>
      <c r="C136" s="20">
        <v>203</v>
      </c>
      <c r="D136" s="64">
        <f t="shared" si="24"/>
        <v>-2604.8333333333335</v>
      </c>
      <c r="E136" s="63">
        <f t="shared" si="25"/>
        <v>2604.8333333333335</v>
      </c>
      <c r="F136" s="64">
        <f t="shared" si="26"/>
        <v>6785156.694444445</v>
      </c>
      <c r="G136" s="20">
        <v>3</v>
      </c>
      <c r="H136" s="64">
        <f t="shared" si="27"/>
        <v>-33.646464646464644</v>
      </c>
      <c r="I136" s="63">
        <f t="shared" si="28"/>
        <v>33.646464646464644</v>
      </c>
      <c r="J136" s="64">
        <f t="shared" si="29"/>
        <v>1132.0845832057951</v>
      </c>
      <c r="K136" s="20">
        <v>41</v>
      </c>
      <c r="L136" s="64">
        <f t="shared" si="30"/>
        <v>-856.04040404040404</v>
      </c>
      <c r="M136" s="63">
        <f t="shared" si="31"/>
        <v>856.04040404040404</v>
      </c>
      <c r="N136" s="64">
        <f t="shared" si="32"/>
        <v>732805.17334965814</v>
      </c>
      <c r="O136" s="20">
        <v>13.56</v>
      </c>
      <c r="P136" s="64">
        <f t="shared" si="33"/>
        <v>3.4908080808080886</v>
      </c>
      <c r="Q136" s="63">
        <f t="shared" si="34"/>
        <v>3.4908080808080886</v>
      </c>
      <c r="R136" s="64">
        <f t="shared" si="35"/>
        <v>12.185741057035051</v>
      </c>
    </row>
    <row r="137" spans="1:18" x14ac:dyDescent="0.2">
      <c r="A137" s="21">
        <v>149</v>
      </c>
      <c r="B137" s="21">
        <v>2</v>
      </c>
      <c r="C137" s="20">
        <v>203</v>
      </c>
      <c r="D137" s="64">
        <f t="shared" si="24"/>
        <v>-2604.8333333333335</v>
      </c>
      <c r="E137" s="63">
        <f t="shared" si="25"/>
        <v>2604.8333333333335</v>
      </c>
      <c r="F137" s="64">
        <f t="shared" si="26"/>
        <v>6785156.694444445</v>
      </c>
      <c r="G137" s="20">
        <v>4</v>
      </c>
      <c r="H137" s="64">
        <f t="shared" si="27"/>
        <v>-32.646464646464644</v>
      </c>
      <c r="I137" s="63">
        <f t="shared" si="28"/>
        <v>32.646464646464644</v>
      </c>
      <c r="J137" s="64">
        <f t="shared" si="29"/>
        <v>1065.7916539128657</v>
      </c>
      <c r="K137" s="20">
        <v>36</v>
      </c>
      <c r="L137" s="64">
        <f t="shared" si="30"/>
        <v>-861.04040404040404</v>
      </c>
      <c r="M137" s="63">
        <f t="shared" si="31"/>
        <v>861.04040404040404</v>
      </c>
      <c r="N137" s="64">
        <f t="shared" si="32"/>
        <v>741390.57739006227</v>
      </c>
      <c r="O137" s="20">
        <v>15.45</v>
      </c>
      <c r="P137" s="64">
        <f t="shared" si="33"/>
        <v>5.3808080808080874</v>
      </c>
      <c r="Q137" s="63">
        <f t="shared" si="34"/>
        <v>5.3808080808080874</v>
      </c>
      <c r="R137" s="64">
        <f t="shared" si="35"/>
        <v>28.953095602489611</v>
      </c>
    </row>
    <row r="138" spans="1:18" x14ac:dyDescent="0.2">
      <c r="A138" s="21">
        <v>85</v>
      </c>
      <c r="B138" s="21">
        <v>2</v>
      </c>
      <c r="C138" s="20">
        <v>201</v>
      </c>
      <c r="D138" s="64">
        <f t="shared" si="24"/>
        <v>-2606.8333333333335</v>
      </c>
      <c r="E138" s="63">
        <f t="shared" si="25"/>
        <v>2606.8333333333335</v>
      </c>
      <c r="F138" s="64">
        <f t="shared" si="26"/>
        <v>6795580.0277777789</v>
      </c>
      <c r="G138" s="20">
        <v>4</v>
      </c>
      <c r="H138" s="64">
        <f t="shared" si="27"/>
        <v>-32.646464646464644</v>
      </c>
      <c r="I138" s="63">
        <f t="shared" si="28"/>
        <v>32.646464646464644</v>
      </c>
      <c r="J138" s="64">
        <f t="shared" si="29"/>
        <v>1065.7916539128657</v>
      </c>
      <c r="K138" s="20">
        <v>67</v>
      </c>
      <c r="L138" s="64">
        <f t="shared" si="30"/>
        <v>-830.04040404040404</v>
      </c>
      <c r="M138" s="63">
        <f t="shared" si="31"/>
        <v>830.04040404040404</v>
      </c>
      <c r="N138" s="64">
        <f t="shared" si="32"/>
        <v>688967.07233955723</v>
      </c>
      <c r="O138" s="20">
        <v>8.2200000000000006</v>
      </c>
      <c r="P138" s="64">
        <f t="shared" si="33"/>
        <v>-1.8491919191919113</v>
      </c>
      <c r="Q138" s="63">
        <f t="shared" si="34"/>
        <v>1.8491919191919113</v>
      </c>
      <c r="R138" s="64">
        <f t="shared" si="35"/>
        <v>3.4195107540046643</v>
      </c>
    </row>
    <row r="139" spans="1:18" x14ac:dyDescent="0.2">
      <c r="A139" s="21">
        <v>86</v>
      </c>
      <c r="B139" s="21">
        <v>2</v>
      </c>
      <c r="C139" s="20">
        <v>192</v>
      </c>
      <c r="D139" s="64">
        <f t="shared" si="24"/>
        <v>-2615.8333333333335</v>
      </c>
      <c r="E139" s="63">
        <f t="shared" si="25"/>
        <v>2615.8333333333335</v>
      </c>
      <c r="F139" s="64">
        <f t="shared" si="26"/>
        <v>6842584.0277777789</v>
      </c>
      <c r="G139" s="20">
        <v>4</v>
      </c>
      <c r="H139" s="64">
        <f t="shared" si="27"/>
        <v>-32.646464646464644</v>
      </c>
      <c r="I139" s="63">
        <f t="shared" si="28"/>
        <v>32.646464646464644</v>
      </c>
      <c r="J139" s="64">
        <f t="shared" si="29"/>
        <v>1065.7916539128657</v>
      </c>
      <c r="K139" s="20">
        <v>33</v>
      </c>
      <c r="L139" s="64">
        <f t="shared" si="30"/>
        <v>-864.04040404040404</v>
      </c>
      <c r="M139" s="63">
        <f t="shared" si="31"/>
        <v>864.04040404040404</v>
      </c>
      <c r="N139" s="64">
        <f t="shared" si="32"/>
        <v>746565.8198143047</v>
      </c>
      <c r="O139" s="20">
        <v>15.94</v>
      </c>
      <c r="P139" s="64">
        <f t="shared" si="33"/>
        <v>5.8708080808080876</v>
      </c>
      <c r="Q139" s="63">
        <f t="shared" si="34"/>
        <v>5.8708080808080876</v>
      </c>
      <c r="R139" s="64">
        <f t="shared" si="35"/>
        <v>34.46638752168154</v>
      </c>
    </row>
    <row r="140" spans="1:18" x14ac:dyDescent="0.2">
      <c r="A140" s="21">
        <v>51</v>
      </c>
      <c r="B140" s="21">
        <v>2</v>
      </c>
      <c r="C140" s="20">
        <v>189</v>
      </c>
      <c r="D140" s="64">
        <f t="shared" si="24"/>
        <v>-2618.8333333333335</v>
      </c>
      <c r="E140" s="63">
        <f t="shared" si="25"/>
        <v>2618.8333333333335</v>
      </c>
      <c r="F140" s="64">
        <f t="shared" si="26"/>
        <v>6858288.0277777789</v>
      </c>
      <c r="G140" s="20">
        <v>2</v>
      </c>
      <c r="H140" s="64">
        <f t="shared" si="27"/>
        <v>-34.646464646464644</v>
      </c>
      <c r="I140" s="63">
        <f t="shared" si="28"/>
        <v>34.646464646464644</v>
      </c>
      <c r="J140" s="64">
        <f t="shared" si="29"/>
        <v>1200.3775124987244</v>
      </c>
      <c r="K140" s="20">
        <v>53</v>
      </c>
      <c r="L140" s="64">
        <f t="shared" si="30"/>
        <v>-844.04040404040404</v>
      </c>
      <c r="M140" s="63">
        <f t="shared" si="31"/>
        <v>844.04040404040404</v>
      </c>
      <c r="N140" s="64">
        <f t="shared" si="32"/>
        <v>712404.20365268853</v>
      </c>
      <c r="O140" s="20">
        <v>9.77</v>
      </c>
      <c r="P140" s="64">
        <f t="shared" si="33"/>
        <v>-0.29919191919191235</v>
      </c>
      <c r="Q140" s="63">
        <f t="shared" si="34"/>
        <v>0.29919191919191235</v>
      </c>
      <c r="R140" s="64">
        <f t="shared" si="35"/>
        <v>8.951580450973981E-2</v>
      </c>
    </row>
    <row r="141" spans="1:18" x14ac:dyDescent="0.2">
      <c r="A141" s="21">
        <v>52</v>
      </c>
      <c r="B141" s="21">
        <v>2</v>
      </c>
      <c r="C141" s="20">
        <v>188</v>
      </c>
      <c r="D141" s="64">
        <f t="shared" si="24"/>
        <v>-2619.8333333333335</v>
      </c>
      <c r="E141" s="63">
        <f t="shared" si="25"/>
        <v>2619.8333333333335</v>
      </c>
      <c r="F141" s="64">
        <f t="shared" si="26"/>
        <v>6863526.694444445</v>
      </c>
      <c r="G141" s="20">
        <v>2</v>
      </c>
      <c r="H141" s="64">
        <f t="shared" si="27"/>
        <v>-34.646464646464644</v>
      </c>
      <c r="I141" s="63">
        <f t="shared" si="28"/>
        <v>34.646464646464644</v>
      </c>
      <c r="J141" s="64">
        <f t="shared" si="29"/>
        <v>1200.3775124987244</v>
      </c>
      <c r="K141" s="20">
        <v>39</v>
      </c>
      <c r="L141" s="64">
        <f t="shared" si="30"/>
        <v>-858.04040404040404</v>
      </c>
      <c r="M141" s="63">
        <f t="shared" si="31"/>
        <v>858.04040404040404</v>
      </c>
      <c r="N141" s="64">
        <f t="shared" si="32"/>
        <v>736233.33496581984</v>
      </c>
      <c r="O141" s="20">
        <v>13.21</v>
      </c>
      <c r="P141" s="64">
        <f t="shared" si="33"/>
        <v>3.1408080808080889</v>
      </c>
      <c r="Q141" s="63">
        <f t="shared" si="34"/>
        <v>3.1408080808080889</v>
      </c>
      <c r="R141" s="64">
        <f t="shared" si="35"/>
        <v>9.8646754004693911</v>
      </c>
    </row>
    <row r="142" spans="1:18" x14ac:dyDescent="0.2">
      <c r="A142" s="21">
        <v>87</v>
      </c>
      <c r="B142" s="21">
        <v>2</v>
      </c>
      <c r="C142" s="20">
        <v>188</v>
      </c>
      <c r="D142" s="64">
        <f t="shared" si="24"/>
        <v>-2619.8333333333335</v>
      </c>
      <c r="E142" s="63">
        <f t="shared" si="25"/>
        <v>2619.8333333333335</v>
      </c>
      <c r="F142" s="64">
        <f t="shared" si="26"/>
        <v>6863526.694444445</v>
      </c>
      <c r="G142" s="20">
        <v>2</v>
      </c>
      <c r="H142" s="64">
        <f t="shared" si="27"/>
        <v>-34.646464646464644</v>
      </c>
      <c r="I142" s="63">
        <f t="shared" si="28"/>
        <v>34.646464646464644</v>
      </c>
      <c r="J142" s="64">
        <f t="shared" si="29"/>
        <v>1200.3775124987244</v>
      </c>
      <c r="K142" s="20">
        <v>50</v>
      </c>
      <c r="L142" s="64">
        <f t="shared" si="30"/>
        <v>-847.04040404040404</v>
      </c>
      <c r="M142" s="63">
        <f t="shared" si="31"/>
        <v>847.04040404040404</v>
      </c>
      <c r="N142" s="64">
        <f t="shared" si="32"/>
        <v>717477.44607693097</v>
      </c>
      <c r="O142" s="20">
        <v>10.3</v>
      </c>
      <c r="P142" s="64">
        <f t="shared" si="33"/>
        <v>0.23080808080808879</v>
      </c>
      <c r="Q142" s="63">
        <f t="shared" si="34"/>
        <v>0.23080808080808879</v>
      </c>
      <c r="R142" s="64">
        <f t="shared" si="35"/>
        <v>5.3272370166313247E-2</v>
      </c>
    </row>
    <row r="143" spans="1:18" x14ac:dyDescent="0.2">
      <c r="A143" s="21">
        <v>141</v>
      </c>
      <c r="B143" s="21">
        <v>2</v>
      </c>
      <c r="C143" s="20">
        <v>188</v>
      </c>
      <c r="D143" s="64">
        <f t="shared" si="24"/>
        <v>-2619.8333333333335</v>
      </c>
      <c r="E143" s="63">
        <f t="shared" si="25"/>
        <v>2619.8333333333335</v>
      </c>
      <c r="F143" s="64">
        <f t="shared" si="26"/>
        <v>6863526.694444445</v>
      </c>
      <c r="G143" s="20">
        <v>2</v>
      </c>
      <c r="H143" s="64">
        <f t="shared" si="27"/>
        <v>-34.646464646464644</v>
      </c>
      <c r="I143" s="63">
        <f t="shared" si="28"/>
        <v>34.646464646464644</v>
      </c>
      <c r="J143" s="64">
        <f t="shared" si="29"/>
        <v>1200.3775124987244</v>
      </c>
      <c r="K143" s="20">
        <v>49</v>
      </c>
      <c r="L143" s="64">
        <f t="shared" si="30"/>
        <v>-848.04040404040404</v>
      </c>
      <c r="M143" s="63">
        <f t="shared" si="31"/>
        <v>848.04040404040404</v>
      </c>
      <c r="N143" s="64">
        <f t="shared" si="32"/>
        <v>719172.5268850117</v>
      </c>
      <c r="O143" s="20">
        <v>10.51</v>
      </c>
      <c r="P143" s="64">
        <f t="shared" si="33"/>
        <v>0.44080808080808787</v>
      </c>
      <c r="Q143" s="63">
        <f t="shared" si="34"/>
        <v>0.44080808080808787</v>
      </c>
      <c r="R143" s="64">
        <f t="shared" si="35"/>
        <v>0.19431176410570972</v>
      </c>
    </row>
    <row r="144" spans="1:18" x14ac:dyDescent="0.2">
      <c r="A144" s="21">
        <v>198</v>
      </c>
      <c r="B144" s="21">
        <v>2</v>
      </c>
      <c r="C144" s="20">
        <v>187</v>
      </c>
      <c r="D144" s="64">
        <f t="shared" si="24"/>
        <v>-2620.8333333333335</v>
      </c>
      <c r="E144" s="63">
        <f t="shared" si="25"/>
        <v>2620.8333333333335</v>
      </c>
      <c r="F144" s="64">
        <f t="shared" si="26"/>
        <v>6868767.3611111119</v>
      </c>
      <c r="G144" s="20">
        <v>4</v>
      </c>
      <c r="H144" s="64">
        <f t="shared" si="27"/>
        <v>-32.646464646464644</v>
      </c>
      <c r="I144" s="63">
        <f t="shared" si="28"/>
        <v>32.646464646464644</v>
      </c>
      <c r="J144" s="64">
        <f t="shared" si="29"/>
        <v>1065.7916539128657</v>
      </c>
      <c r="K144" s="20">
        <v>37</v>
      </c>
      <c r="L144" s="64">
        <f t="shared" si="30"/>
        <v>-860.04040404040404</v>
      </c>
      <c r="M144" s="63">
        <f t="shared" si="31"/>
        <v>860.04040404040404</v>
      </c>
      <c r="N144" s="64">
        <f t="shared" si="32"/>
        <v>739669.49658198142</v>
      </c>
      <c r="O144" s="20">
        <v>13.85</v>
      </c>
      <c r="P144" s="64">
        <f t="shared" si="33"/>
        <v>3.7808080808080877</v>
      </c>
      <c r="Q144" s="63">
        <f t="shared" si="34"/>
        <v>3.7808080808080877</v>
      </c>
      <c r="R144" s="64">
        <f t="shared" si="35"/>
        <v>14.294509743903735</v>
      </c>
    </row>
    <row r="145" spans="1:18" x14ac:dyDescent="0.2">
      <c r="A145" s="21">
        <v>53</v>
      </c>
      <c r="B145" s="21">
        <v>2</v>
      </c>
      <c r="C145" s="20">
        <v>180</v>
      </c>
      <c r="D145" s="64">
        <f t="shared" si="24"/>
        <v>-2627.8333333333335</v>
      </c>
      <c r="E145" s="63">
        <f t="shared" si="25"/>
        <v>2627.8333333333335</v>
      </c>
      <c r="F145" s="64">
        <f t="shared" si="26"/>
        <v>6905508.0277777789</v>
      </c>
      <c r="G145" s="20">
        <v>2</v>
      </c>
      <c r="H145" s="64">
        <f t="shared" si="27"/>
        <v>-34.646464646464644</v>
      </c>
      <c r="I145" s="63">
        <f t="shared" si="28"/>
        <v>34.646464646464644</v>
      </c>
      <c r="J145" s="64">
        <f t="shared" si="29"/>
        <v>1200.3775124987244</v>
      </c>
      <c r="K145" s="20">
        <v>35</v>
      </c>
      <c r="L145" s="64">
        <f t="shared" si="30"/>
        <v>-862.04040404040404</v>
      </c>
      <c r="M145" s="63">
        <f t="shared" si="31"/>
        <v>862.04040404040404</v>
      </c>
      <c r="N145" s="64">
        <f t="shared" si="32"/>
        <v>743113.65819814301</v>
      </c>
      <c r="O145" s="20">
        <v>14.09</v>
      </c>
      <c r="P145" s="64">
        <f t="shared" si="33"/>
        <v>4.0208080808080879</v>
      </c>
      <c r="Q145" s="63">
        <f t="shared" si="34"/>
        <v>4.0208080808080879</v>
      </c>
      <c r="R145" s="64">
        <f t="shared" si="35"/>
        <v>16.166897622691618</v>
      </c>
    </row>
    <row r="146" spans="1:18" x14ac:dyDescent="0.2">
      <c r="A146" s="21">
        <v>88</v>
      </c>
      <c r="B146" s="21">
        <v>2</v>
      </c>
      <c r="C146" s="20">
        <v>173</v>
      </c>
      <c r="D146" s="64">
        <f t="shared" si="24"/>
        <v>-2634.8333333333335</v>
      </c>
      <c r="E146" s="63">
        <f t="shared" si="25"/>
        <v>2634.8333333333335</v>
      </c>
      <c r="F146" s="64">
        <f t="shared" si="26"/>
        <v>6942346.694444445</v>
      </c>
      <c r="G146" s="20">
        <v>3</v>
      </c>
      <c r="H146" s="64">
        <f t="shared" si="27"/>
        <v>-33.646464646464644</v>
      </c>
      <c r="I146" s="63">
        <f t="shared" si="28"/>
        <v>33.646464646464644</v>
      </c>
      <c r="J146" s="64">
        <f t="shared" si="29"/>
        <v>1132.0845832057951</v>
      </c>
      <c r="K146" s="20">
        <v>67</v>
      </c>
      <c r="L146" s="64">
        <f t="shared" si="30"/>
        <v>-830.04040404040404</v>
      </c>
      <c r="M146" s="63">
        <f t="shared" si="31"/>
        <v>830.04040404040404</v>
      </c>
      <c r="N146" s="64">
        <f t="shared" si="32"/>
        <v>688967.07233955723</v>
      </c>
      <c r="O146" s="20">
        <v>7.07</v>
      </c>
      <c r="P146" s="64">
        <f t="shared" si="33"/>
        <v>-2.9991919191919116</v>
      </c>
      <c r="Q146" s="63">
        <f t="shared" si="34"/>
        <v>2.9991919191919116</v>
      </c>
      <c r="R146" s="64">
        <f t="shared" si="35"/>
        <v>8.9951521681460616</v>
      </c>
    </row>
    <row r="147" spans="1:18" x14ac:dyDescent="0.2">
      <c r="A147" s="21">
        <v>89</v>
      </c>
      <c r="B147" s="21">
        <v>2</v>
      </c>
      <c r="C147" s="20">
        <v>172</v>
      </c>
      <c r="D147" s="64">
        <f t="shared" si="24"/>
        <v>-2635.8333333333335</v>
      </c>
      <c r="E147" s="63">
        <f t="shared" si="25"/>
        <v>2635.8333333333335</v>
      </c>
      <c r="F147" s="64">
        <f t="shared" si="26"/>
        <v>6947617.3611111119</v>
      </c>
      <c r="G147" s="20">
        <v>3</v>
      </c>
      <c r="H147" s="64">
        <f t="shared" si="27"/>
        <v>-33.646464646464644</v>
      </c>
      <c r="I147" s="63">
        <f t="shared" si="28"/>
        <v>33.646464646464644</v>
      </c>
      <c r="J147" s="64">
        <f t="shared" si="29"/>
        <v>1132.0845832057951</v>
      </c>
      <c r="K147" s="20">
        <v>51</v>
      </c>
      <c r="L147" s="64">
        <f t="shared" si="30"/>
        <v>-846.04040404040404</v>
      </c>
      <c r="M147" s="63">
        <f t="shared" si="31"/>
        <v>846.04040404040404</v>
      </c>
      <c r="N147" s="64">
        <f t="shared" si="32"/>
        <v>715784.36526885012</v>
      </c>
      <c r="O147" s="20">
        <v>9.24</v>
      </c>
      <c r="P147" s="64">
        <f t="shared" si="33"/>
        <v>-0.82919191919191171</v>
      </c>
      <c r="Q147" s="63">
        <f t="shared" si="34"/>
        <v>0.82919191919191171</v>
      </c>
      <c r="R147" s="64">
        <f t="shared" si="35"/>
        <v>0.68755923885316583</v>
      </c>
    </row>
    <row r="148" spans="1:18" x14ac:dyDescent="0.2">
      <c r="A148" s="21">
        <v>90</v>
      </c>
      <c r="B148" s="21">
        <v>2</v>
      </c>
      <c r="C148" s="20">
        <v>170</v>
      </c>
      <c r="D148" s="64">
        <f t="shared" si="24"/>
        <v>-2637.8333333333335</v>
      </c>
      <c r="E148" s="63">
        <f t="shared" si="25"/>
        <v>2637.8333333333335</v>
      </c>
      <c r="F148" s="64">
        <f t="shared" si="26"/>
        <v>6958164.694444445</v>
      </c>
      <c r="G148" s="20">
        <v>3</v>
      </c>
      <c r="H148" s="64">
        <f t="shared" si="27"/>
        <v>-33.646464646464644</v>
      </c>
      <c r="I148" s="63">
        <f t="shared" si="28"/>
        <v>33.646464646464644</v>
      </c>
      <c r="J148" s="64">
        <f t="shared" si="29"/>
        <v>1132.0845832057951</v>
      </c>
      <c r="K148" s="20">
        <v>35</v>
      </c>
      <c r="L148" s="64">
        <f t="shared" si="30"/>
        <v>-862.04040404040404</v>
      </c>
      <c r="M148" s="63">
        <f t="shared" si="31"/>
        <v>862.04040404040404</v>
      </c>
      <c r="N148" s="64">
        <f t="shared" si="32"/>
        <v>743113.65819814301</v>
      </c>
      <c r="O148" s="20">
        <v>13.31</v>
      </c>
      <c r="P148" s="64">
        <f t="shared" si="33"/>
        <v>3.2408080808080886</v>
      </c>
      <c r="Q148" s="63">
        <f t="shared" si="34"/>
        <v>3.2408080808080886</v>
      </c>
      <c r="R148" s="64">
        <f t="shared" si="35"/>
        <v>10.502837016631007</v>
      </c>
    </row>
    <row r="149" spans="1:18" x14ac:dyDescent="0.2">
      <c r="A149" s="21">
        <v>91</v>
      </c>
      <c r="B149" s="21">
        <v>2</v>
      </c>
      <c r="C149" s="20">
        <v>167</v>
      </c>
      <c r="D149" s="64">
        <f t="shared" si="24"/>
        <v>-2640.8333333333335</v>
      </c>
      <c r="E149" s="63">
        <f t="shared" si="25"/>
        <v>2640.8333333333335</v>
      </c>
      <c r="F149" s="64">
        <f t="shared" si="26"/>
        <v>6974000.694444445</v>
      </c>
      <c r="G149" s="20">
        <v>3</v>
      </c>
      <c r="H149" s="64">
        <f t="shared" si="27"/>
        <v>-33.646464646464644</v>
      </c>
      <c r="I149" s="63">
        <f t="shared" si="28"/>
        <v>33.646464646464644</v>
      </c>
      <c r="J149" s="64">
        <f t="shared" si="29"/>
        <v>1132.0845832057951</v>
      </c>
      <c r="K149" s="20">
        <v>36</v>
      </c>
      <c r="L149" s="64">
        <f t="shared" si="30"/>
        <v>-861.04040404040404</v>
      </c>
      <c r="M149" s="63">
        <f t="shared" si="31"/>
        <v>861.04040404040404</v>
      </c>
      <c r="N149" s="64">
        <f t="shared" si="32"/>
        <v>741390.57739006227</v>
      </c>
      <c r="O149" s="20">
        <v>12.71</v>
      </c>
      <c r="P149" s="64">
        <f t="shared" si="33"/>
        <v>2.6408080808080889</v>
      </c>
      <c r="Q149" s="63">
        <f t="shared" si="34"/>
        <v>2.6408080808080889</v>
      </c>
      <c r="R149" s="64">
        <f t="shared" si="35"/>
        <v>6.9738673196613021</v>
      </c>
    </row>
    <row r="150" spans="1:18" x14ac:dyDescent="0.2">
      <c r="A150" s="21">
        <v>192</v>
      </c>
      <c r="B150" s="21">
        <v>2</v>
      </c>
      <c r="C150" s="20">
        <v>162</v>
      </c>
      <c r="D150" s="64">
        <f t="shared" si="24"/>
        <v>-2645.8333333333335</v>
      </c>
      <c r="E150" s="63">
        <f t="shared" si="25"/>
        <v>2645.8333333333335</v>
      </c>
      <c r="F150" s="64">
        <f t="shared" si="26"/>
        <v>7000434.0277777789</v>
      </c>
      <c r="G150" s="20">
        <v>3</v>
      </c>
      <c r="H150" s="64">
        <f t="shared" si="27"/>
        <v>-33.646464646464644</v>
      </c>
      <c r="I150" s="63">
        <f t="shared" si="28"/>
        <v>33.646464646464644</v>
      </c>
      <c r="J150" s="64">
        <f t="shared" si="29"/>
        <v>1132.0845832057951</v>
      </c>
      <c r="K150" s="20">
        <v>46</v>
      </c>
      <c r="L150" s="64">
        <f t="shared" si="30"/>
        <v>-851.04040404040404</v>
      </c>
      <c r="M150" s="63">
        <f t="shared" si="31"/>
        <v>851.04040404040404</v>
      </c>
      <c r="N150" s="64">
        <f t="shared" si="32"/>
        <v>724269.76930925413</v>
      </c>
      <c r="O150" s="20">
        <v>9.65</v>
      </c>
      <c r="P150" s="64">
        <f t="shared" si="33"/>
        <v>-0.41919191919191157</v>
      </c>
      <c r="Q150" s="63">
        <f t="shared" si="34"/>
        <v>0.41919191919191157</v>
      </c>
      <c r="R150" s="64">
        <f t="shared" si="35"/>
        <v>0.17572186511579813</v>
      </c>
    </row>
    <row r="151" spans="1:18" x14ac:dyDescent="0.2">
      <c r="A151" s="21">
        <v>24</v>
      </c>
      <c r="B151" s="21">
        <v>2</v>
      </c>
      <c r="C151" s="20">
        <v>155</v>
      </c>
      <c r="D151" s="64">
        <f t="shared" si="24"/>
        <v>-2652.8333333333335</v>
      </c>
      <c r="E151" s="63">
        <f t="shared" si="25"/>
        <v>2652.8333333333335</v>
      </c>
      <c r="F151" s="64">
        <f t="shared" si="26"/>
        <v>7037524.694444445</v>
      </c>
      <c r="G151" s="20">
        <v>3</v>
      </c>
      <c r="H151" s="64">
        <f t="shared" si="27"/>
        <v>-33.646464646464644</v>
      </c>
      <c r="I151" s="63">
        <f t="shared" si="28"/>
        <v>33.646464646464644</v>
      </c>
      <c r="J151" s="64">
        <f t="shared" si="29"/>
        <v>1132.0845832057951</v>
      </c>
      <c r="K151" s="20">
        <v>42</v>
      </c>
      <c r="L151" s="64">
        <f t="shared" si="30"/>
        <v>-855.04040404040404</v>
      </c>
      <c r="M151" s="63">
        <f t="shared" si="31"/>
        <v>855.04040404040404</v>
      </c>
      <c r="N151" s="64">
        <f t="shared" si="32"/>
        <v>731094.09254157741</v>
      </c>
      <c r="O151" s="20">
        <v>10.11</v>
      </c>
      <c r="P151" s="64">
        <f t="shared" si="33"/>
        <v>4.080808080808751E-2</v>
      </c>
      <c r="Q151" s="63">
        <f t="shared" si="34"/>
        <v>4.080808080808751E-2</v>
      </c>
      <c r="R151" s="64">
        <f t="shared" si="35"/>
        <v>1.6652994592394003E-3</v>
      </c>
    </row>
    <row r="152" spans="1:18" x14ac:dyDescent="0.2">
      <c r="A152" s="21">
        <v>144</v>
      </c>
      <c r="B152" s="21">
        <v>2</v>
      </c>
      <c r="C152" s="20">
        <v>154</v>
      </c>
      <c r="D152" s="64">
        <f t="shared" si="24"/>
        <v>-2653.8333333333335</v>
      </c>
      <c r="E152" s="63">
        <f t="shared" si="25"/>
        <v>2653.8333333333335</v>
      </c>
      <c r="F152" s="64">
        <f t="shared" si="26"/>
        <v>7042831.3611111119</v>
      </c>
      <c r="G152" s="20">
        <v>3</v>
      </c>
      <c r="H152" s="64">
        <f t="shared" si="27"/>
        <v>-33.646464646464644</v>
      </c>
      <c r="I152" s="63">
        <f t="shared" si="28"/>
        <v>33.646464646464644</v>
      </c>
      <c r="J152" s="64">
        <f t="shared" si="29"/>
        <v>1132.0845832057951</v>
      </c>
      <c r="K152" s="20">
        <v>31</v>
      </c>
      <c r="L152" s="64">
        <f t="shared" si="30"/>
        <v>-866.04040404040404</v>
      </c>
      <c r="M152" s="63">
        <f t="shared" si="31"/>
        <v>866.04040404040404</v>
      </c>
      <c r="N152" s="64">
        <f t="shared" si="32"/>
        <v>750025.98143046629</v>
      </c>
      <c r="O152" s="20">
        <v>13.61</v>
      </c>
      <c r="P152" s="64">
        <f t="shared" si="33"/>
        <v>3.5408080808080875</v>
      </c>
      <c r="Q152" s="63">
        <f t="shared" si="34"/>
        <v>3.5408080808080875</v>
      </c>
      <c r="R152" s="64">
        <f t="shared" si="35"/>
        <v>12.537321865115851</v>
      </c>
    </row>
    <row r="153" spans="1:18" x14ac:dyDescent="0.2">
      <c r="A153" s="21">
        <v>93</v>
      </c>
      <c r="B153" s="21">
        <v>2</v>
      </c>
      <c r="C153" s="20">
        <v>153</v>
      </c>
      <c r="D153" s="64">
        <f t="shared" si="24"/>
        <v>-2654.8333333333335</v>
      </c>
      <c r="E153" s="63">
        <f t="shared" si="25"/>
        <v>2654.8333333333335</v>
      </c>
      <c r="F153" s="64">
        <f t="shared" si="26"/>
        <v>7048140.0277777789</v>
      </c>
      <c r="G153" s="20">
        <v>4</v>
      </c>
      <c r="H153" s="64">
        <f t="shared" si="27"/>
        <v>-32.646464646464644</v>
      </c>
      <c r="I153" s="63">
        <f t="shared" si="28"/>
        <v>32.646464646464644</v>
      </c>
      <c r="J153" s="64">
        <f t="shared" si="29"/>
        <v>1065.7916539128657</v>
      </c>
      <c r="K153" s="20">
        <v>45</v>
      </c>
      <c r="L153" s="64">
        <f t="shared" si="30"/>
        <v>-852.04040404040404</v>
      </c>
      <c r="M153" s="63">
        <f t="shared" si="31"/>
        <v>852.04040404040404</v>
      </c>
      <c r="N153" s="64">
        <f t="shared" si="32"/>
        <v>725972.85011733498</v>
      </c>
      <c r="O153" s="20">
        <v>9.32</v>
      </c>
      <c r="P153" s="64">
        <f t="shared" si="33"/>
        <v>-0.74919191919191164</v>
      </c>
      <c r="Q153" s="63">
        <f t="shared" si="34"/>
        <v>0.74919191919191164</v>
      </c>
      <c r="R153" s="64">
        <f t="shared" si="35"/>
        <v>0.56128853178245985</v>
      </c>
    </row>
    <row r="154" spans="1:18" x14ac:dyDescent="0.2">
      <c r="A154" s="21">
        <v>29</v>
      </c>
      <c r="B154" s="21">
        <v>2</v>
      </c>
      <c r="C154" s="20">
        <v>151</v>
      </c>
      <c r="D154" s="64">
        <f t="shared" si="24"/>
        <v>-2656.8333333333335</v>
      </c>
      <c r="E154" s="63">
        <f t="shared" si="25"/>
        <v>2656.8333333333335</v>
      </c>
      <c r="F154" s="64">
        <f t="shared" si="26"/>
        <v>7058763.3611111119</v>
      </c>
      <c r="G154" s="20">
        <v>4</v>
      </c>
      <c r="H154" s="64">
        <f t="shared" si="27"/>
        <v>-32.646464646464644</v>
      </c>
      <c r="I154" s="63">
        <f t="shared" si="28"/>
        <v>32.646464646464644</v>
      </c>
      <c r="J154" s="64">
        <f t="shared" si="29"/>
        <v>1065.7916539128657</v>
      </c>
      <c r="K154" s="20">
        <v>32</v>
      </c>
      <c r="L154" s="64">
        <f t="shared" si="30"/>
        <v>-865.04040404040404</v>
      </c>
      <c r="M154" s="63">
        <f t="shared" si="31"/>
        <v>865.04040404040404</v>
      </c>
      <c r="N154" s="64">
        <f t="shared" si="32"/>
        <v>748294.90062238544</v>
      </c>
      <c r="O154" s="20">
        <v>12.93</v>
      </c>
      <c r="P154" s="64">
        <f t="shared" si="33"/>
        <v>2.8608080808080878</v>
      </c>
      <c r="Q154" s="63">
        <f t="shared" si="34"/>
        <v>2.8608080808080878</v>
      </c>
      <c r="R154" s="64">
        <f t="shared" si="35"/>
        <v>8.1842228752168538</v>
      </c>
    </row>
    <row r="155" spans="1:18" x14ac:dyDescent="0.2">
      <c r="A155" s="21">
        <v>145</v>
      </c>
      <c r="B155" s="21">
        <v>2</v>
      </c>
      <c r="C155" s="20">
        <v>150</v>
      </c>
      <c r="D155" s="64">
        <f t="shared" si="24"/>
        <v>-2657.8333333333335</v>
      </c>
      <c r="E155" s="63">
        <f t="shared" si="25"/>
        <v>2657.8333333333335</v>
      </c>
      <c r="F155" s="64">
        <f t="shared" si="26"/>
        <v>7064078.0277777789</v>
      </c>
      <c r="G155" s="20">
        <v>4</v>
      </c>
      <c r="H155" s="64">
        <f t="shared" si="27"/>
        <v>-32.646464646464644</v>
      </c>
      <c r="I155" s="63">
        <f t="shared" si="28"/>
        <v>32.646464646464644</v>
      </c>
      <c r="J155" s="64">
        <f t="shared" si="29"/>
        <v>1065.7916539128657</v>
      </c>
      <c r="K155" s="20">
        <v>28</v>
      </c>
      <c r="L155" s="64">
        <f t="shared" si="30"/>
        <v>-869.04040404040404</v>
      </c>
      <c r="M155" s="63">
        <f t="shared" si="31"/>
        <v>869.04040404040404</v>
      </c>
      <c r="N155" s="64">
        <f t="shared" si="32"/>
        <v>755231.22385470872</v>
      </c>
      <c r="O155" s="20">
        <v>14.68</v>
      </c>
      <c r="P155" s="64">
        <f t="shared" si="33"/>
        <v>4.6108080808080878</v>
      </c>
      <c r="Q155" s="63">
        <f t="shared" si="34"/>
        <v>4.6108080808080878</v>
      </c>
      <c r="R155" s="64">
        <f t="shared" si="35"/>
        <v>21.259551158045163</v>
      </c>
    </row>
    <row r="156" spans="1:18" x14ac:dyDescent="0.2">
      <c r="A156" s="21">
        <v>94</v>
      </c>
      <c r="B156" s="21">
        <v>2</v>
      </c>
      <c r="C156" s="20">
        <v>132</v>
      </c>
      <c r="D156" s="64">
        <f t="shared" si="24"/>
        <v>-2675.8333333333335</v>
      </c>
      <c r="E156" s="63">
        <f t="shared" si="25"/>
        <v>2675.8333333333335</v>
      </c>
      <c r="F156" s="64">
        <f t="shared" si="26"/>
        <v>7160084.0277777789</v>
      </c>
      <c r="G156" s="20">
        <v>2</v>
      </c>
      <c r="H156" s="64">
        <f t="shared" si="27"/>
        <v>-34.646464646464644</v>
      </c>
      <c r="I156" s="63">
        <f t="shared" si="28"/>
        <v>34.646464646464644</v>
      </c>
      <c r="J156" s="64">
        <f t="shared" si="29"/>
        <v>1200.3775124987244</v>
      </c>
      <c r="K156" s="20">
        <v>25</v>
      </c>
      <c r="L156" s="64">
        <f t="shared" si="30"/>
        <v>-872.04040404040404</v>
      </c>
      <c r="M156" s="63">
        <f t="shared" si="31"/>
        <v>872.04040404040404</v>
      </c>
      <c r="N156" s="64">
        <f t="shared" si="32"/>
        <v>760454.46627895115</v>
      </c>
      <c r="O156" s="20">
        <v>14.47</v>
      </c>
      <c r="P156" s="64">
        <f t="shared" si="33"/>
        <v>4.4008080808080887</v>
      </c>
      <c r="Q156" s="63">
        <f t="shared" si="34"/>
        <v>4.4008080808080887</v>
      </c>
      <c r="R156" s="64">
        <f t="shared" si="35"/>
        <v>19.367111764105772</v>
      </c>
    </row>
    <row r="157" spans="1:18" x14ac:dyDescent="0.2">
      <c r="A157" s="21">
        <v>82</v>
      </c>
      <c r="B157" s="21">
        <v>2</v>
      </c>
      <c r="C157" s="20">
        <v>124</v>
      </c>
      <c r="D157" s="64">
        <f t="shared" si="24"/>
        <v>-2683.8333333333335</v>
      </c>
      <c r="E157" s="63">
        <f t="shared" si="25"/>
        <v>2683.8333333333335</v>
      </c>
      <c r="F157" s="64">
        <f t="shared" si="26"/>
        <v>7202961.3611111119</v>
      </c>
      <c r="G157" s="20">
        <v>1</v>
      </c>
      <c r="H157" s="64">
        <f t="shared" si="27"/>
        <v>-35.646464646464644</v>
      </c>
      <c r="I157" s="63">
        <f t="shared" si="28"/>
        <v>35.646464646464644</v>
      </c>
      <c r="J157" s="64">
        <f t="shared" si="29"/>
        <v>1270.6704417916537</v>
      </c>
      <c r="K157" s="20">
        <v>38</v>
      </c>
      <c r="L157" s="64">
        <f t="shared" si="30"/>
        <v>-859.04040404040404</v>
      </c>
      <c r="M157" s="63">
        <f t="shared" si="31"/>
        <v>859.04040404040404</v>
      </c>
      <c r="N157" s="64">
        <f t="shared" si="32"/>
        <v>737950.41577390058</v>
      </c>
      <c r="O157" s="20">
        <v>8.94</v>
      </c>
      <c r="P157" s="64">
        <f t="shared" si="33"/>
        <v>-1.1291919191919124</v>
      </c>
      <c r="Q157" s="63">
        <f t="shared" si="34"/>
        <v>1.1291919191919124</v>
      </c>
      <c r="R157" s="64">
        <f t="shared" si="35"/>
        <v>1.2750743903683144</v>
      </c>
    </row>
    <row r="158" spans="1:18" x14ac:dyDescent="0.2">
      <c r="A158" s="21">
        <v>25</v>
      </c>
      <c r="B158" s="21">
        <v>2</v>
      </c>
      <c r="C158" s="20">
        <v>110</v>
      </c>
      <c r="D158" s="64">
        <f t="shared" si="24"/>
        <v>-2697.8333333333335</v>
      </c>
      <c r="E158" s="63">
        <f t="shared" si="25"/>
        <v>2697.8333333333335</v>
      </c>
      <c r="F158" s="64">
        <f t="shared" si="26"/>
        <v>7278304.694444445</v>
      </c>
      <c r="G158" s="20">
        <v>0</v>
      </c>
      <c r="H158" s="64">
        <f t="shared" si="27"/>
        <v>-36.646464646464644</v>
      </c>
      <c r="I158" s="63">
        <f t="shared" si="28"/>
        <v>36.646464646464644</v>
      </c>
      <c r="J158" s="64">
        <f t="shared" si="29"/>
        <v>1342.9633710845831</v>
      </c>
      <c r="K158" s="20">
        <v>28</v>
      </c>
      <c r="L158" s="64">
        <f t="shared" si="30"/>
        <v>-869.04040404040404</v>
      </c>
      <c r="M158" s="63">
        <f t="shared" si="31"/>
        <v>869.04040404040404</v>
      </c>
      <c r="N158" s="64">
        <f t="shared" si="32"/>
        <v>755231.22385470872</v>
      </c>
      <c r="O158" s="20">
        <v>10.76</v>
      </c>
      <c r="P158" s="64">
        <f t="shared" si="33"/>
        <v>0.69080808080808787</v>
      </c>
      <c r="Q158" s="63">
        <f t="shared" si="34"/>
        <v>0.69080808080808787</v>
      </c>
      <c r="R158" s="64">
        <f t="shared" si="35"/>
        <v>0.47721580450975365</v>
      </c>
    </row>
    <row r="159" spans="1:18" x14ac:dyDescent="0.2">
      <c r="A159" s="21">
        <v>41</v>
      </c>
      <c r="B159" s="21">
        <v>2</v>
      </c>
      <c r="C159" s="20">
        <v>109</v>
      </c>
      <c r="D159" s="64">
        <f t="shared" si="24"/>
        <v>-2698.8333333333335</v>
      </c>
      <c r="E159" s="63">
        <f t="shared" si="25"/>
        <v>2698.8333333333335</v>
      </c>
      <c r="F159" s="64">
        <f t="shared" si="26"/>
        <v>7283701.3611111119</v>
      </c>
      <c r="G159" s="20">
        <v>0</v>
      </c>
      <c r="H159" s="64">
        <f t="shared" si="27"/>
        <v>-36.646464646464644</v>
      </c>
      <c r="I159" s="63">
        <f t="shared" si="28"/>
        <v>36.646464646464644</v>
      </c>
      <c r="J159" s="64">
        <f t="shared" si="29"/>
        <v>1342.9633710845831</v>
      </c>
      <c r="K159" s="20">
        <v>46</v>
      </c>
      <c r="L159" s="64">
        <f t="shared" si="30"/>
        <v>-851.04040404040404</v>
      </c>
      <c r="M159" s="63">
        <f t="shared" si="31"/>
        <v>851.04040404040404</v>
      </c>
      <c r="N159" s="64">
        <f t="shared" si="32"/>
        <v>724269.76930925413</v>
      </c>
      <c r="O159" s="20">
        <v>6.49</v>
      </c>
      <c r="P159" s="64">
        <f t="shared" si="33"/>
        <v>-3.5791919191919117</v>
      </c>
      <c r="Q159" s="63">
        <f t="shared" si="34"/>
        <v>3.5791919191919117</v>
      </c>
      <c r="R159" s="64">
        <f t="shared" si="35"/>
        <v>12.81061479440868</v>
      </c>
    </row>
    <row r="160" spans="1:18" x14ac:dyDescent="0.2">
      <c r="A160" s="21">
        <v>42</v>
      </c>
      <c r="B160" s="21">
        <v>2</v>
      </c>
      <c r="C160" s="20">
        <v>104</v>
      </c>
      <c r="D160" s="64">
        <f t="shared" si="24"/>
        <v>-2703.8333333333335</v>
      </c>
      <c r="E160" s="63">
        <f t="shared" si="25"/>
        <v>2703.8333333333335</v>
      </c>
      <c r="F160" s="64">
        <f t="shared" si="26"/>
        <v>7310714.694444445</v>
      </c>
      <c r="G160" s="20">
        <v>2</v>
      </c>
      <c r="H160" s="64">
        <f t="shared" si="27"/>
        <v>-34.646464646464644</v>
      </c>
      <c r="I160" s="63">
        <f t="shared" si="28"/>
        <v>34.646464646464644</v>
      </c>
      <c r="J160" s="64">
        <f t="shared" si="29"/>
        <v>1200.3775124987244</v>
      </c>
      <c r="K160" s="20">
        <v>31</v>
      </c>
      <c r="L160" s="64">
        <f t="shared" si="30"/>
        <v>-866.04040404040404</v>
      </c>
      <c r="M160" s="63">
        <f t="shared" si="31"/>
        <v>866.04040404040404</v>
      </c>
      <c r="N160" s="64">
        <f t="shared" si="32"/>
        <v>750025.98143046629</v>
      </c>
      <c r="O160" s="20">
        <v>9.19</v>
      </c>
      <c r="P160" s="64">
        <f t="shared" si="33"/>
        <v>-0.87919191919191242</v>
      </c>
      <c r="Q160" s="63">
        <f t="shared" si="34"/>
        <v>0.87919191919191242</v>
      </c>
      <c r="R160" s="64">
        <f t="shared" si="35"/>
        <v>0.77297843077235828</v>
      </c>
    </row>
    <row r="161" spans="1:18" x14ac:dyDescent="0.2">
      <c r="A161" s="21">
        <v>96</v>
      </c>
      <c r="B161" s="21">
        <v>2</v>
      </c>
      <c r="C161" s="20">
        <v>103</v>
      </c>
      <c r="D161" s="64">
        <f t="shared" si="24"/>
        <v>-2704.8333333333335</v>
      </c>
      <c r="E161" s="63">
        <f t="shared" si="25"/>
        <v>2704.8333333333335</v>
      </c>
      <c r="F161" s="64">
        <f t="shared" si="26"/>
        <v>7316123.3611111119</v>
      </c>
      <c r="G161" s="20">
        <v>0</v>
      </c>
      <c r="H161" s="64">
        <f t="shared" si="27"/>
        <v>-36.646464646464644</v>
      </c>
      <c r="I161" s="63">
        <f t="shared" si="28"/>
        <v>36.646464646464644</v>
      </c>
      <c r="J161" s="64">
        <f t="shared" si="29"/>
        <v>1342.9633710845831</v>
      </c>
      <c r="K161" s="20">
        <v>25</v>
      </c>
      <c r="L161" s="64">
        <f t="shared" si="30"/>
        <v>-872.04040404040404</v>
      </c>
      <c r="M161" s="63">
        <f t="shared" si="31"/>
        <v>872.04040404040404</v>
      </c>
      <c r="N161" s="64">
        <f t="shared" si="32"/>
        <v>760454.46627895115</v>
      </c>
      <c r="O161" s="20">
        <v>11.29</v>
      </c>
      <c r="P161" s="64">
        <f t="shared" si="33"/>
        <v>1.2208080808080872</v>
      </c>
      <c r="Q161" s="63">
        <f t="shared" si="34"/>
        <v>1.2208080808080872</v>
      </c>
      <c r="R161" s="64">
        <f t="shared" si="35"/>
        <v>1.4903723701663252</v>
      </c>
    </row>
    <row r="162" spans="1:18" x14ac:dyDescent="0.2">
      <c r="A162" s="21">
        <v>97</v>
      </c>
      <c r="B162" s="21">
        <v>2</v>
      </c>
      <c r="C162" s="20">
        <v>103</v>
      </c>
      <c r="D162" s="64">
        <f t="shared" si="24"/>
        <v>-2704.8333333333335</v>
      </c>
      <c r="E162" s="63">
        <f t="shared" si="25"/>
        <v>2704.8333333333335</v>
      </c>
      <c r="F162" s="64">
        <f t="shared" si="26"/>
        <v>7316123.3611111119</v>
      </c>
      <c r="G162" s="20">
        <v>3</v>
      </c>
      <c r="H162" s="64">
        <f t="shared" si="27"/>
        <v>-33.646464646464644</v>
      </c>
      <c r="I162" s="63">
        <f t="shared" si="28"/>
        <v>33.646464646464644</v>
      </c>
      <c r="J162" s="64">
        <f t="shared" si="29"/>
        <v>1132.0845832057951</v>
      </c>
      <c r="K162" s="20">
        <v>32</v>
      </c>
      <c r="L162" s="64">
        <f t="shared" si="30"/>
        <v>-865.04040404040404</v>
      </c>
      <c r="M162" s="63">
        <f t="shared" si="31"/>
        <v>865.04040404040404</v>
      </c>
      <c r="N162" s="64">
        <f t="shared" si="32"/>
        <v>748294.90062238544</v>
      </c>
      <c r="O162" s="20">
        <v>8.82</v>
      </c>
      <c r="P162" s="64">
        <f t="shared" si="33"/>
        <v>-1.2491919191919116</v>
      </c>
      <c r="Q162" s="63">
        <f t="shared" si="34"/>
        <v>1.2491919191919116</v>
      </c>
      <c r="R162" s="64">
        <f t="shared" si="35"/>
        <v>1.5604804509743715</v>
      </c>
    </row>
    <row r="163" spans="1:18" x14ac:dyDescent="0.2">
      <c r="A163" s="21">
        <v>98</v>
      </c>
      <c r="B163" s="21">
        <v>2</v>
      </c>
      <c r="C163" s="20">
        <v>101</v>
      </c>
      <c r="D163" s="64">
        <f t="shared" si="24"/>
        <v>-2706.8333333333335</v>
      </c>
      <c r="E163" s="63">
        <f t="shared" si="25"/>
        <v>2706.8333333333335</v>
      </c>
      <c r="F163" s="64">
        <f t="shared" si="26"/>
        <v>7326946.694444445</v>
      </c>
      <c r="G163" s="20">
        <v>2</v>
      </c>
      <c r="H163" s="64">
        <f t="shared" si="27"/>
        <v>-34.646464646464644</v>
      </c>
      <c r="I163" s="63">
        <f t="shared" si="28"/>
        <v>34.646464646464644</v>
      </c>
      <c r="J163" s="64">
        <f t="shared" si="29"/>
        <v>1200.3775124987244</v>
      </c>
      <c r="K163" s="20">
        <v>57</v>
      </c>
      <c r="L163" s="64">
        <f t="shared" si="30"/>
        <v>-840.04040404040404</v>
      </c>
      <c r="M163" s="63">
        <f t="shared" si="31"/>
        <v>840.04040404040404</v>
      </c>
      <c r="N163" s="64">
        <f t="shared" si="32"/>
        <v>705667.88042036525</v>
      </c>
      <c r="O163" s="20">
        <v>4.8499999999999996</v>
      </c>
      <c r="P163" s="64">
        <f t="shared" si="33"/>
        <v>-5.2191919191919123</v>
      </c>
      <c r="Q163" s="63">
        <f t="shared" si="34"/>
        <v>5.2191919191919123</v>
      </c>
      <c r="R163" s="64">
        <f t="shared" si="35"/>
        <v>27.239964289358156</v>
      </c>
    </row>
    <row r="164" spans="1:18" x14ac:dyDescent="0.2">
      <c r="A164" s="21">
        <v>154</v>
      </c>
      <c r="B164" s="21">
        <v>2</v>
      </c>
      <c r="C164" s="20">
        <v>101</v>
      </c>
      <c r="D164" s="64">
        <f t="shared" si="24"/>
        <v>-2706.8333333333335</v>
      </c>
      <c r="E164" s="63">
        <f t="shared" si="25"/>
        <v>2706.8333333333335</v>
      </c>
      <c r="F164" s="64">
        <f t="shared" si="26"/>
        <v>7326946.694444445</v>
      </c>
      <c r="G164" s="20">
        <v>3</v>
      </c>
      <c r="H164" s="64">
        <f t="shared" si="27"/>
        <v>-33.646464646464644</v>
      </c>
      <c r="I164" s="63">
        <f t="shared" si="28"/>
        <v>33.646464646464644</v>
      </c>
      <c r="J164" s="64">
        <f t="shared" si="29"/>
        <v>1132.0845832057951</v>
      </c>
      <c r="K164" s="20">
        <v>30</v>
      </c>
      <c r="L164" s="64">
        <f t="shared" si="30"/>
        <v>-867.04040404040404</v>
      </c>
      <c r="M164" s="63">
        <f t="shared" si="31"/>
        <v>867.04040404040404</v>
      </c>
      <c r="N164" s="64">
        <f t="shared" si="32"/>
        <v>751759.06223854714</v>
      </c>
      <c r="O164" s="20">
        <v>9.2200000000000006</v>
      </c>
      <c r="P164" s="64">
        <f t="shared" si="33"/>
        <v>-0.84919191919191128</v>
      </c>
      <c r="Q164" s="63">
        <f t="shared" si="34"/>
        <v>0.84919191919191128</v>
      </c>
      <c r="R164" s="64">
        <f t="shared" si="35"/>
        <v>0.72112691562084164</v>
      </c>
    </row>
    <row r="165" spans="1:18" x14ac:dyDescent="0.2">
      <c r="A165" s="21">
        <v>99</v>
      </c>
      <c r="B165" s="21">
        <v>2</v>
      </c>
      <c r="C165" s="20">
        <v>99</v>
      </c>
      <c r="D165" s="64">
        <f t="shared" si="24"/>
        <v>-2708.8333333333335</v>
      </c>
      <c r="E165" s="63">
        <f t="shared" si="25"/>
        <v>2708.8333333333335</v>
      </c>
      <c r="F165" s="64">
        <f t="shared" si="26"/>
        <v>7337778.0277777789</v>
      </c>
      <c r="G165" s="20">
        <v>3</v>
      </c>
      <c r="H165" s="64">
        <f t="shared" si="27"/>
        <v>-33.646464646464644</v>
      </c>
      <c r="I165" s="63">
        <f t="shared" si="28"/>
        <v>33.646464646464644</v>
      </c>
      <c r="J165" s="64">
        <f t="shared" si="29"/>
        <v>1132.0845832057951</v>
      </c>
      <c r="K165" s="20">
        <v>56</v>
      </c>
      <c r="L165" s="64">
        <f t="shared" si="30"/>
        <v>-841.04040404040404</v>
      </c>
      <c r="M165" s="63">
        <f t="shared" si="31"/>
        <v>841.04040404040404</v>
      </c>
      <c r="N165" s="64">
        <f t="shared" si="32"/>
        <v>707348.9612284461</v>
      </c>
      <c r="O165" s="20">
        <v>4.84</v>
      </c>
      <c r="P165" s="64">
        <f t="shared" si="33"/>
        <v>-5.2291919191919121</v>
      </c>
      <c r="Q165" s="63">
        <f t="shared" si="34"/>
        <v>5.2291919191919121</v>
      </c>
      <c r="R165" s="64">
        <f t="shared" si="35"/>
        <v>27.344448127741991</v>
      </c>
    </row>
    <row r="166" spans="1:18" x14ac:dyDescent="0.2">
      <c r="A166" s="21">
        <v>100</v>
      </c>
      <c r="B166" s="21">
        <v>2</v>
      </c>
      <c r="C166" s="20">
        <v>98</v>
      </c>
      <c r="D166" s="64">
        <f t="shared" si="24"/>
        <v>-2709.8333333333335</v>
      </c>
      <c r="E166" s="63">
        <f t="shared" si="25"/>
        <v>2709.8333333333335</v>
      </c>
      <c r="F166" s="64">
        <f t="shared" si="26"/>
        <v>7343196.694444445</v>
      </c>
      <c r="G166" s="20">
        <v>4</v>
      </c>
      <c r="H166" s="64">
        <f t="shared" si="27"/>
        <v>-32.646464646464644</v>
      </c>
      <c r="I166" s="63">
        <f t="shared" si="28"/>
        <v>32.646464646464644</v>
      </c>
      <c r="J166" s="64">
        <f t="shared" si="29"/>
        <v>1065.7916539128657</v>
      </c>
      <c r="K166" s="20">
        <v>82</v>
      </c>
      <c r="L166" s="64">
        <f t="shared" si="30"/>
        <v>-815.04040404040404</v>
      </c>
      <c r="M166" s="63">
        <f t="shared" si="31"/>
        <v>815.04040404040404</v>
      </c>
      <c r="N166" s="64">
        <f t="shared" si="32"/>
        <v>664290.86021834507</v>
      </c>
      <c r="O166" s="20">
        <v>3.27</v>
      </c>
      <c r="P166" s="64">
        <f t="shared" si="33"/>
        <v>-6.7991919191919123</v>
      </c>
      <c r="Q166" s="63">
        <f t="shared" si="34"/>
        <v>6.7991919191919123</v>
      </c>
      <c r="R166" s="64">
        <f t="shared" si="35"/>
        <v>46.229010754004598</v>
      </c>
    </row>
    <row r="167" spans="1:18" x14ac:dyDescent="0.2">
      <c r="A167" s="21">
        <v>135</v>
      </c>
      <c r="B167" s="21">
        <v>2</v>
      </c>
      <c r="C167" s="20">
        <v>95</v>
      </c>
      <c r="D167" s="64">
        <f t="shared" si="24"/>
        <v>-2712.8333333333335</v>
      </c>
      <c r="E167" s="63">
        <f t="shared" si="25"/>
        <v>2712.8333333333335</v>
      </c>
      <c r="F167" s="64">
        <f t="shared" si="26"/>
        <v>7359464.694444445</v>
      </c>
      <c r="G167" s="20">
        <v>8</v>
      </c>
      <c r="H167" s="64">
        <f t="shared" si="27"/>
        <v>-28.646464646464644</v>
      </c>
      <c r="I167" s="63">
        <f t="shared" si="28"/>
        <v>28.646464646464644</v>
      </c>
      <c r="J167" s="64">
        <f t="shared" si="29"/>
        <v>820.61993674114865</v>
      </c>
      <c r="K167" s="20">
        <v>78</v>
      </c>
      <c r="L167" s="64">
        <f t="shared" si="30"/>
        <v>-819.04040404040404</v>
      </c>
      <c r="M167" s="63">
        <f t="shared" si="31"/>
        <v>819.04040404040404</v>
      </c>
      <c r="N167" s="64">
        <f t="shared" si="32"/>
        <v>670827.18345066835</v>
      </c>
      <c r="O167" s="20">
        <v>3.34</v>
      </c>
      <c r="P167" s="64">
        <f t="shared" si="33"/>
        <v>-6.7291919191919121</v>
      </c>
      <c r="Q167" s="63">
        <f t="shared" si="34"/>
        <v>6.7291919191919121</v>
      </c>
      <c r="R167" s="64">
        <f t="shared" si="35"/>
        <v>45.282023885317727</v>
      </c>
    </row>
    <row r="168" spans="1:18" x14ac:dyDescent="0.2">
      <c r="A168" s="21">
        <v>101</v>
      </c>
      <c r="B168" s="21">
        <v>2</v>
      </c>
      <c r="C168" s="20">
        <v>93</v>
      </c>
      <c r="D168" s="64">
        <f t="shared" si="24"/>
        <v>-2714.8333333333335</v>
      </c>
      <c r="E168" s="63">
        <f t="shared" si="25"/>
        <v>2714.8333333333335</v>
      </c>
      <c r="F168" s="64">
        <f t="shared" si="26"/>
        <v>7370320.0277777789</v>
      </c>
      <c r="G168" s="20">
        <v>7</v>
      </c>
      <c r="H168" s="64">
        <f t="shared" si="27"/>
        <v>-29.646464646464644</v>
      </c>
      <c r="I168" s="63">
        <f t="shared" si="28"/>
        <v>29.646464646464644</v>
      </c>
      <c r="J168" s="64">
        <f t="shared" si="29"/>
        <v>878.91286603407798</v>
      </c>
      <c r="K168" s="20">
        <v>95</v>
      </c>
      <c r="L168" s="64">
        <f t="shared" si="30"/>
        <v>-802.04040404040404</v>
      </c>
      <c r="M168" s="63">
        <f t="shared" si="31"/>
        <v>802.04040404040404</v>
      </c>
      <c r="N168" s="64">
        <f t="shared" si="32"/>
        <v>643268.80971329461</v>
      </c>
      <c r="O168" s="20">
        <v>2.68</v>
      </c>
      <c r="P168" s="64">
        <f t="shared" si="33"/>
        <v>-7.3891919191919122</v>
      </c>
      <c r="Q168" s="63">
        <f t="shared" si="34"/>
        <v>7.3891919191919122</v>
      </c>
      <c r="R168" s="64">
        <f t="shared" si="35"/>
        <v>54.600157218651056</v>
      </c>
    </row>
    <row r="169" spans="1:18" x14ac:dyDescent="0.2">
      <c r="A169" s="21">
        <v>102</v>
      </c>
      <c r="B169" s="21">
        <v>2</v>
      </c>
      <c r="C169" s="20">
        <v>92</v>
      </c>
      <c r="D169" s="64">
        <f t="shared" si="24"/>
        <v>-2715.8333333333335</v>
      </c>
      <c r="E169" s="63">
        <f t="shared" si="25"/>
        <v>2715.8333333333335</v>
      </c>
      <c r="F169" s="64">
        <f t="shared" si="26"/>
        <v>7375750.694444445</v>
      </c>
      <c r="G169" s="20">
        <v>7</v>
      </c>
      <c r="H169" s="64">
        <f t="shared" si="27"/>
        <v>-29.646464646464644</v>
      </c>
      <c r="I169" s="63">
        <f t="shared" si="28"/>
        <v>29.646464646464644</v>
      </c>
      <c r="J169" s="64">
        <f t="shared" si="29"/>
        <v>878.91286603407798</v>
      </c>
      <c r="K169" s="20">
        <v>92</v>
      </c>
      <c r="L169" s="64">
        <f t="shared" si="30"/>
        <v>-805.04040404040404</v>
      </c>
      <c r="M169" s="63">
        <f t="shared" si="31"/>
        <v>805.04040404040404</v>
      </c>
      <c r="N169" s="64">
        <f t="shared" si="32"/>
        <v>648090.05213753704</v>
      </c>
      <c r="O169" s="20">
        <v>2.74</v>
      </c>
      <c r="P169" s="64">
        <f t="shared" si="33"/>
        <v>-7.3291919191919117</v>
      </c>
      <c r="Q169" s="63">
        <f t="shared" si="34"/>
        <v>7.3291919191919117</v>
      </c>
      <c r="R169" s="64">
        <f t="shared" si="35"/>
        <v>53.717054188348015</v>
      </c>
    </row>
    <row r="170" spans="1:18" x14ac:dyDescent="0.2">
      <c r="A170" s="21">
        <v>134</v>
      </c>
      <c r="B170" s="21">
        <v>2</v>
      </c>
      <c r="C170" s="20">
        <v>91</v>
      </c>
      <c r="D170" s="64">
        <f t="shared" si="24"/>
        <v>-2716.8333333333335</v>
      </c>
      <c r="E170" s="63">
        <f t="shared" si="25"/>
        <v>2716.8333333333335</v>
      </c>
      <c r="F170" s="64">
        <f t="shared" si="26"/>
        <v>7381183.3611111119</v>
      </c>
      <c r="G170" s="20">
        <v>4</v>
      </c>
      <c r="H170" s="64">
        <f t="shared" si="27"/>
        <v>-32.646464646464644</v>
      </c>
      <c r="I170" s="63">
        <f t="shared" si="28"/>
        <v>32.646464646464644</v>
      </c>
      <c r="J170" s="64">
        <f t="shared" si="29"/>
        <v>1065.7916539128657</v>
      </c>
      <c r="K170" s="20">
        <v>30</v>
      </c>
      <c r="L170" s="64">
        <f t="shared" si="30"/>
        <v>-867.04040404040404</v>
      </c>
      <c r="M170" s="63">
        <f t="shared" si="31"/>
        <v>867.04040404040404</v>
      </c>
      <c r="N170" s="64">
        <f t="shared" si="32"/>
        <v>751759.06223854714</v>
      </c>
      <c r="O170" s="20">
        <v>8.31</v>
      </c>
      <c r="P170" s="64">
        <f t="shared" si="33"/>
        <v>-1.7591919191919114</v>
      </c>
      <c r="Q170" s="63">
        <f t="shared" si="34"/>
        <v>1.7591919191919114</v>
      </c>
      <c r="R170" s="64">
        <f t="shared" si="35"/>
        <v>3.0947562085501206</v>
      </c>
    </row>
    <row r="171" spans="1:18" x14ac:dyDescent="0.2">
      <c r="A171" s="21">
        <v>103</v>
      </c>
      <c r="B171" s="21">
        <v>2</v>
      </c>
      <c r="C171" s="20">
        <v>89</v>
      </c>
      <c r="D171" s="64">
        <f t="shared" si="24"/>
        <v>-2718.8333333333335</v>
      </c>
      <c r="E171" s="63">
        <f t="shared" si="25"/>
        <v>2718.8333333333335</v>
      </c>
      <c r="F171" s="64">
        <f t="shared" si="26"/>
        <v>7392054.694444445</v>
      </c>
      <c r="G171" s="20">
        <v>9</v>
      </c>
      <c r="H171" s="64">
        <f t="shared" si="27"/>
        <v>-27.646464646464644</v>
      </c>
      <c r="I171" s="63">
        <f t="shared" si="28"/>
        <v>27.646464646464644</v>
      </c>
      <c r="J171" s="64">
        <f t="shared" si="29"/>
        <v>764.32700744821943</v>
      </c>
      <c r="K171" s="20">
        <v>82</v>
      </c>
      <c r="L171" s="64">
        <f t="shared" si="30"/>
        <v>-815.04040404040404</v>
      </c>
      <c r="M171" s="63">
        <f t="shared" si="31"/>
        <v>815.04040404040404</v>
      </c>
      <c r="N171" s="64">
        <f t="shared" si="32"/>
        <v>664290.86021834507</v>
      </c>
      <c r="O171" s="20">
        <v>2.97</v>
      </c>
      <c r="P171" s="64">
        <f t="shared" si="33"/>
        <v>-7.0991919191919113</v>
      </c>
      <c r="Q171" s="63">
        <f t="shared" si="34"/>
        <v>7.0991919191919113</v>
      </c>
      <c r="R171" s="64">
        <f t="shared" si="35"/>
        <v>50.398525905519733</v>
      </c>
    </row>
    <row r="172" spans="1:18" x14ac:dyDescent="0.2">
      <c r="A172" s="21">
        <v>136</v>
      </c>
      <c r="B172" s="21">
        <v>2</v>
      </c>
      <c r="C172" s="20">
        <v>87</v>
      </c>
      <c r="D172" s="64">
        <f t="shared" si="24"/>
        <v>-2720.8333333333335</v>
      </c>
      <c r="E172" s="63">
        <f t="shared" si="25"/>
        <v>2720.8333333333335</v>
      </c>
      <c r="F172" s="64">
        <f t="shared" si="26"/>
        <v>7402934.0277777789</v>
      </c>
      <c r="G172" s="20">
        <v>4</v>
      </c>
      <c r="H172" s="64">
        <f t="shared" si="27"/>
        <v>-32.646464646464644</v>
      </c>
      <c r="I172" s="63">
        <f t="shared" si="28"/>
        <v>32.646464646464644</v>
      </c>
      <c r="J172" s="64">
        <f t="shared" si="29"/>
        <v>1065.7916539128657</v>
      </c>
      <c r="K172" s="20">
        <v>53</v>
      </c>
      <c r="L172" s="64">
        <f t="shared" si="30"/>
        <v>-844.04040404040404</v>
      </c>
      <c r="M172" s="63">
        <f t="shared" si="31"/>
        <v>844.04040404040404</v>
      </c>
      <c r="N172" s="64">
        <f t="shared" si="32"/>
        <v>712404.20365268853</v>
      </c>
      <c r="O172" s="20">
        <v>4.5</v>
      </c>
      <c r="P172" s="64">
        <f t="shared" si="33"/>
        <v>-5.5691919191919119</v>
      </c>
      <c r="Q172" s="63">
        <f t="shared" si="34"/>
        <v>5.5691919191919119</v>
      </c>
      <c r="R172" s="64">
        <f t="shared" si="35"/>
        <v>31.015898632792492</v>
      </c>
    </row>
    <row r="173" spans="1:18" x14ac:dyDescent="0.2">
      <c r="A173" s="21">
        <v>104</v>
      </c>
      <c r="B173" s="21">
        <v>2</v>
      </c>
      <c r="C173" s="20">
        <v>78</v>
      </c>
      <c r="D173" s="64">
        <f t="shared" si="24"/>
        <v>-2729.8333333333335</v>
      </c>
      <c r="E173" s="63">
        <f t="shared" si="25"/>
        <v>2729.8333333333335</v>
      </c>
      <c r="F173" s="64">
        <f t="shared" si="26"/>
        <v>7451990.0277777789</v>
      </c>
      <c r="G173" s="20">
        <v>4</v>
      </c>
      <c r="H173" s="64">
        <f t="shared" si="27"/>
        <v>-32.646464646464644</v>
      </c>
      <c r="I173" s="63">
        <f t="shared" si="28"/>
        <v>32.646464646464644</v>
      </c>
      <c r="J173" s="64">
        <f t="shared" si="29"/>
        <v>1065.7916539128657</v>
      </c>
      <c r="K173" s="20">
        <v>56</v>
      </c>
      <c r="L173" s="64">
        <f t="shared" si="30"/>
        <v>-841.04040404040404</v>
      </c>
      <c r="M173" s="63">
        <f t="shared" si="31"/>
        <v>841.04040404040404</v>
      </c>
      <c r="N173" s="64">
        <f t="shared" si="32"/>
        <v>707348.9612284461</v>
      </c>
      <c r="O173" s="20">
        <v>3.82</v>
      </c>
      <c r="P173" s="64">
        <f t="shared" si="33"/>
        <v>-6.2491919191919116</v>
      </c>
      <c r="Q173" s="63">
        <f t="shared" si="34"/>
        <v>6.2491919191919116</v>
      </c>
      <c r="R173" s="64">
        <f t="shared" si="35"/>
        <v>39.052399642893491</v>
      </c>
    </row>
    <row r="174" spans="1:18" x14ac:dyDescent="0.2">
      <c r="A174" s="21">
        <v>195</v>
      </c>
      <c r="B174" s="21">
        <v>2</v>
      </c>
      <c r="C174" s="20">
        <v>78</v>
      </c>
      <c r="D174" s="64">
        <f t="shared" si="24"/>
        <v>-2729.8333333333335</v>
      </c>
      <c r="E174" s="63">
        <f t="shared" si="25"/>
        <v>2729.8333333333335</v>
      </c>
      <c r="F174" s="64">
        <f t="shared" si="26"/>
        <v>7451990.0277777789</v>
      </c>
      <c r="G174" s="20">
        <v>7</v>
      </c>
      <c r="H174" s="64">
        <f t="shared" si="27"/>
        <v>-29.646464646464644</v>
      </c>
      <c r="I174" s="63">
        <f t="shared" si="28"/>
        <v>29.646464646464644</v>
      </c>
      <c r="J174" s="64">
        <f t="shared" si="29"/>
        <v>878.91286603407798</v>
      </c>
      <c r="K174" s="20">
        <v>67</v>
      </c>
      <c r="L174" s="64">
        <f t="shared" si="30"/>
        <v>-830.04040404040404</v>
      </c>
      <c r="M174" s="63">
        <f t="shared" si="31"/>
        <v>830.04040404040404</v>
      </c>
      <c r="N174" s="64">
        <f t="shared" si="32"/>
        <v>688967.07233955723</v>
      </c>
      <c r="O174" s="20">
        <v>3.19</v>
      </c>
      <c r="P174" s="64">
        <f t="shared" si="33"/>
        <v>-6.8791919191919124</v>
      </c>
      <c r="Q174" s="63">
        <f t="shared" si="34"/>
        <v>6.8791919191919124</v>
      </c>
      <c r="R174" s="64">
        <f t="shared" si="35"/>
        <v>47.323281461075304</v>
      </c>
    </row>
    <row r="175" spans="1:18" x14ac:dyDescent="0.2">
      <c r="A175" s="21">
        <v>106</v>
      </c>
      <c r="B175" s="21">
        <v>2</v>
      </c>
      <c r="C175" s="20">
        <v>67</v>
      </c>
      <c r="D175" s="64">
        <f t="shared" si="24"/>
        <v>-2740.8333333333335</v>
      </c>
      <c r="E175" s="63">
        <f t="shared" si="25"/>
        <v>2740.8333333333335</v>
      </c>
      <c r="F175" s="64">
        <f t="shared" si="26"/>
        <v>7512167.3611111119</v>
      </c>
      <c r="G175" s="20">
        <v>5</v>
      </c>
      <c r="H175" s="64">
        <f t="shared" si="27"/>
        <v>-31.646464646464644</v>
      </c>
      <c r="I175" s="63">
        <f t="shared" si="28"/>
        <v>31.646464646464644</v>
      </c>
      <c r="J175" s="64">
        <f t="shared" si="29"/>
        <v>1001.4987246199365</v>
      </c>
      <c r="K175" s="20">
        <v>45</v>
      </c>
      <c r="L175" s="64">
        <f t="shared" si="30"/>
        <v>-852.04040404040404</v>
      </c>
      <c r="M175" s="63">
        <f t="shared" si="31"/>
        <v>852.04040404040404</v>
      </c>
      <c r="N175" s="64">
        <f t="shared" si="32"/>
        <v>725972.85011733498</v>
      </c>
      <c r="O175" s="20">
        <v>4.08</v>
      </c>
      <c r="P175" s="64">
        <f t="shared" si="33"/>
        <v>-5.9891919191919119</v>
      </c>
      <c r="Q175" s="63">
        <f t="shared" si="34"/>
        <v>5.9891919191919119</v>
      </c>
      <c r="R175" s="64">
        <f t="shared" si="35"/>
        <v>35.870419844913698</v>
      </c>
    </row>
    <row r="176" spans="1:18" x14ac:dyDescent="0.2">
      <c r="A176" s="21">
        <v>107</v>
      </c>
      <c r="B176" s="21">
        <v>2</v>
      </c>
      <c r="C176" s="20">
        <v>60</v>
      </c>
      <c r="D176" s="64">
        <f t="shared" si="24"/>
        <v>-2747.8333333333335</v>
      </c>
      <c r="E176" s="63">
        <f t="shared" si="25"/>
        <v>2747.8333333333335</v>
      </c>
      <c r="F176" s="64">
        <f t="shared" si="26"/>
        <v>7550588.0277777789</v>
      </c>
      <c r="G176" s="20">
        <v>3</v>
      </c>
      <c r="H176" s="64">
        <f t="shared" si="27"/>
        <v>-33.646464646464644</v>
      </c>
      <c r="I176" s="63">
        <f t="shared" si="28"/>
        <v>33.646464646464644</v>
      </c>
      <c r="J176" s="64">
        <f t="shared" si="29"/>
        <v>1132.0845832057951</v>
      </c>
      <c r="K176" s="20">
        <v>80</v>
      </c>
      <c r="L176" s="64">
        <f t="shared" si="30"/>
        <v>-817.04040404040404</v>
      </c>
      <c r="M176" s="63">
        <f t="shared" si="31"/>
        <v>817.04040404040404</v>
      </c>
      <c r="N176" s="64">
        <f t="shared" si="32"/>
        <v>667555.02183450665</v>
      </c>
      <c r="O176" s="20">
        <v>2.0499999999999998</v>
      </c>
      <c r="P176" s="64">
        <f t="shared" si="33"/>
        <v>-8.0191919191919112</v>
      </c>
      <c r="Q176" s="63">
        <f t="shared" si="34"/>
        <v>8.0191919191919112</v>
      </c>
      <c r="R176" s="64">
        <f t="shared" si="35"/>
        <v>64.307439036832847</v>
      </c>
    </row>
    <row r="177" spans="1:18" x14ac:dyDescent="0.2">
      <c r="A177" s="21">
        <v>62</v>
      </c>
      <c r="B177" s="21">
        <v>2</v>
      </c>
      <c r="C177" s="20">
        <v>59</v>
      </c>
      <c r="D177" s="64">
        <f t="shared" si="24"/>
        <v>-2748.8333333333335</v>
      </c>
      <c r="E177" s="63">
        <f t="shared" si="25"/>
        <v>2748.8333333333335</v>
      </c>
      <c r="F177" s="64">
        <f t="shared" si="26"/>
        <v>7556084.694444445</v>
      </c>
      <c r="G177" s="20">
        <v>0</v>
      </c>
      <c r="H177" s="64">
        <f t="shared" si="27"/>
        <v>-36.646464646464644</v>
      </c>
      <c r="I177" s="63">
        <f t="shared" si="28"/>
        <v>36.646464646464644</v>
      </c>
      <c r="J177" s="64">
        <f t="shared" si="29"/>
        <v>1342.9633710845831</v>
      </c>
      <c r="K177" s="20">
        <v>36</v>
      </c>
      <c r="L177" s="64">
        <f t="shared" si="30"/>
        <v>-861.04040404040404</v>
      </c>
      <c r="M177" s="63">
        <f t="shared" si="31"/>
        <v>861.04040404040404</v>
      </c>
      <c r="N177" s="64">
        <f t="shared" si="32"/>
        <v>741390.57739006227</v>
      </c>
      <c r="O177" s="20">
        <v>4.49</v>
      </c>
      <c r="P177" s="64">
        <f t="shared" si="33"/>
        <v>-5.5791919191919117</v>
      </c>
      <c r="Q177" s="63">
        <f t="shared" si="34"/>
        <v>5.5791919191919117</v>
      </c>
      <c r="R177" s="64">
        <f t="shared" si="35"/>
        <v>31.127382471176325</v>
      </c>
    </row>
    <row r="178" spans="1:18" x14ac:dyDescent="0.2">
      <c r="A178" s="21">
        <v>109</v>
      </c>
      <c r="B178" s="21">
        <v>2</v>
      </c>
      <c r="C178" s="20">
        <v>59</v>
      </c>
      <c r="D178" s="64">
        <f t="shared" si="24"/>
        <v>-2748.8333333333335</v>
      </c>
      <c r="E178" s="63">
        <f t="shared" si="25"/>
        <v>2748.8333333333335</v>
      </c>
      <c r="F178" s="64">
        <f t="shared" si="26"/>
        <v>7556084.694444445</v>
      </c>
      <c r="G178" s="20">
        <v>3</v>
      </c>
      <c r="H178" s="64">
        <f t="shared" si="27"/>
        <v>-33.646464646464644</v>
      </c>
      <c r="I178" s="63">
        <f t="shared" si="28"/>
        <v>33.646464646464644</v>
      </c>
      <c r="J178" s="64">
        <f t="shared" si="29"/>
        <v>1132.0845832057951</v>
      </c>
      <c r="K178" s="20">
        <v>28</v>
      </c>
      <c r="L178" s="64">
        <f t="shared" si="30"/>
        <v>-869.04040404040404</v>
      </c>
      <c r="M178" s="63">
        <f t="shared" si="31"/>
        <v>869.04040404040404</v>
      </c>
      <c r="N178" s="64">
        <f t="shared" si="32"/>
        <v>755231.22385470872</v>
      </c>
      <c r="O178" s="20">
        <v>5.77</v>
      </c>
      <c r="P178" s="64">
        <f t="shared" si="33"/>
        <v>-4.2991919191919123</v>
      </c>
      <c r="Q178" s="63">
        <f t="shared" si="34"/>
        <v>4.2991919191919123</v>
      </c>
      <c r="R178" s="64">
        <f t="shared" si="35"/>
        <v>18.48305115804504</v>
      </c>
    </row>
    <row r="179" spans="1:18" x14ac:dyDescent="0.2">
      <c r="A179" s="21">
        <v>110</v>
      </c>
      <c r="B179" s="21">
        <v>2</v>
      </c>
      <c r="C179" s="20">
        <v>59</v>
      </c>
      <c r="D179" s="64">
        <f t="shared" si="24"/>
        <v>-2748.8333333333335</v>
      </c>
      <c r="E179" s="63">
        <f t="shared" si="25"/>
        <v>2748.8333333333335</v>
      </c>
      <c r="F179" s="64">
        <f t="shared" si="26"/>
        <v>7556084.694444445</v>
      </c>
      <c r="G179" s="20">
        <v>4</v>
      </c>
      <c r="H179" s="64">
        <f t="shared" si="27"/>
        <v>-32.646464646464644</v>
      </c>
      <c r="I179" s="63">
        <f t="shared" si="28"/>
        <v>32.646464646464644</v>
      </c>
      <c r="J179" s="64">
        <f t="shared" si="29"/>
        <v>1065.7916539128657</v>
      </c>
      <c r="K179" s="20">
        <v>35</v>
      </c>
      <c r="L179" s="64">
        <f t="shared" si="30"/>
        <v>-862.04040404040404</v>
      </c>
      <c r="M179" s="63">
        <f t="shared" si="31"/>
        <v>862.04040404040404</v>
      </c>
      <c r="N179" s="64">
        <f t="shared" si="32"/>
        <v>743113.65819814301</v>
      </c>
      <c r="O179" s="20">
        <v>4.62</v>
      </c>
      <c r="P179" s="64">
        <f t="shared" si="33"/>
        <v>-5.4491919191919118</v>
      </c>
      <c r="Q179" s="63">
        <f t="shared" si="34"/>
        <v>5.4491919191919118</v>
      </c>
      <c r="R179" s="64">
        <f t="shared" si="35"/>
        <v>29.693692572186432</v>
      </c>
    </row>
    <row r="180" spans="1:18" x14ac:dyDescent="0.2">
      <c r="A180" s="21">
        <v>69</v>
      </c>
      <c r="B180" s="21">
        <v>2</v>
      </c>
      <c r="C180" s="20">
        <v>58</v>
      </c>
      <c r="D180" s="64">
        <f t="shared" si="24"/>
        <v>-2749.8333333333335</v>
      </c>
      <c r="E180" s="63">
        <f t="shared" si="25"/>
        <v>2749.8333333333335</v>
      </c>
      <c r="F180" s="64">
        <f t="shared" si="26"/>
        <v>7561583.3611111119</v>
      </c>
      <c r="G180" s="20">
        <v>2</v>
      </c>
      <c r="H180" s="64">
        <f t="shared" si="27"/>
        <v>-34.646464646464644</v>
      </c>
      <c r="I180" s="63">
        <f t="shared" si="28"/>
        <v>34.646464646464644</v>
      </c>
      <c r="J180" s="64">
        <f t="shared" si="29"/>
        <v>1200.3775124987244</v>
      </c>
      <c r="K180" s="20">
        <v>31</v>
      </c>
      <c r="L180" s="64">
        <f t="shared" si="30"/>
        <v>-866.04040404040404</v>
      </c>
      <c r="M180" s="63">
        <f t="shared" si="31"/>
        <v>866.04040404040404</v>
      </c>
      <c r="N180" s="64">
        <f t="shared" si="32"/>
        <v>750025.98143046629</v>
      </c>
      <c r="O180" s="20">
        <v>5.12</v>
      </c>
      <c r="P180" s="64">
        <f t="shared" si="33"/>
        <v>-4.9491919191919118</v>
      </c>
      <c r="Q180" s="63">
        <f t="shared" si="34"/>
        <v>4.9491919191919118</v>
      </c>
      <c r="R180" s="64">
        <f t="shared" si="35"/>
        <v>24.494500652994521</v>
      </c>
    </row>
    <row r="181" spans="1:18" x14ac:dyDescent="0.2">
      <c r="A181" s="21">
        <v>112</v>
      </c>
      <c r="B181" s="21">
        <v>2</v>
      </c>
      <c r="C181" s="20">
        <v>58</v>
      </c>
      <c r="D181" s="64">
        <f t="shared" si="24"/>
        <v>-2749.8333333333335</v>
      </c>
      <c r="E181" s="63">
        <f t="shared" si="25"/>
        <v>2749.8333333333335</v>
      </c>
      <c r="F181" s="64">
        <f t="shared" si="26"/>
        <v>7561583.3611111119</v>
      </c>
      <c r="G181" s="20">
        <v>2</v>
      </c>
      <c r="H181" s="64">
        <f t="shared" si="27"/>
        <v>-34.646464646464644</v>
      </c>
      <c r="I181" s="63">
        <f t="shared" si="28"/>
        <v>34.646464646464644</v>
      </c>
      <c r="J181" s="64">
        <f t="shared" si="29"/>
        <v>1200.3775124987244</v>
      </c>
      <c r="K181" s="20">
        <v>23</v>
      </c>
      <c r="L181" s="64">
        <f t="shared" si="30"/>
        <v>-874.04040404040404</v>
      </c>
      <c r="M181" s="63">
        <f t="shared" si="31"/>
        <v>874.04040404040404</v>
      </c>
      <c r="N181" s="64">
        <f t="shared" si="32"/>
        <v>763946.62789511273</v>
      </c>
      <c r="O181" s="20">
        <v>6.91</v>
      </c>
      <c r="P181" s="64">
        <f t="shared" si="33"/>
        <v>-3.1591919191919118</v>
      </c>
      <c r="Q181" s="63">
        <f t="shared" si="34"/>
        <v>3.1591919191919118</v>
      </c>
      <c r="R181" s="64">
        <f t="shared" si="35"/>
        <v>9.9804935822874743</v>
      </c>
    </row>
    <row r="182" spans="1:18" x14ac:dyDescent="0.2">
      <c r="A182" s="21">
        <v>113</v>
      </c>
      <c r="B182" s="21">
        <v>2</v>
      </c>
      <c r="C182" s="20">
        <v>56</v>
      </c>
      <c r="D182" s="64">
        <f t="shared" si="24"/>
        <v>-2751.8333333333335</v>
      </c>
      <c r="E182" s="63">
        <f t="shared" si="25"/>
        <v>2751.8333333333335</v>
      </c>
      <c r="F182" s="64">
        <f t="shared" si="26"/>
        <v>7572586.694444445</v>
      </c>
      <c r="G182" s="20">
        <v>1</v>
      </c>
      <c r="H182" s="64">
        <f t="shared" si="27"/>
        <v>-35.646464646464644</v>
      </c>
      <c r="I182" s="63">
        <f t="shared" si="28"/>
        <v>35.646464646464644</v>
      </c>
      <c r="J182" s="64">
        <f t="shared" si="29"/>
        <v>1270.6704417916537</v>
      </c>
      <c r="K182" s="20">
        <v>20</v>
      </c>
      <c r="L182" s="64">
        <f t="shared" si="30"/>
        <v>-877.04040404040404</v>
      </c>
      <c r="M182" s="63">
        <f t="shared" si="31"/>
        <v>877.04040404040404</v>
      </c>
      <c r="N182" s="64">
        <f t="shared" si="32"/>
        <v>769199.87031935516</v>
      </c>
      <c r="O182" s="20">
        <v>7.67</v>
      </c>
      <c r="P182" s="64">
        <f t="shared" si="33"/>
        <v>-2.399191919191912</v>
      </c>
      <c r="Q182" s="63">
        <f t="shared" si="34"/>
        <v>2.399191919191912</v>
      </c>
      <c r="R182" s="64">
        <f t="shared" si="35"/>
        <v>5.7561218651157704</v>
      </c>
    </row>
    <row r="183" spans="1:18" x14ac:dyDescent="0.2">
      <c r="A183" s="21">
        <v>114</v>
      </c>
      <c r="B183" s="21">
        <v>2</v>
      </c>
      <c r="C183" s="20">
        <v>56</v>
      </c>
      <c r="D183" s="64">
        <f t="shared" si="24"/>
        <v>-2751.8333333333335</v>
      </c>
      <c r="E183" s="63">
        <f t="shared" si="25"/>
        <v>2751.8333333333335</v>
      </c>
      <c r="F183" s="64">
        <f t="shared" si="26"/>
        <v>7572586.694444445</v>
      </c>
      <c r="G183" s="20">
        <v>0</v>
      </c>
      <c r="H183" s="64">
        <f t="shared" si="27"/>
        <v>-36.646464646464644</v>
      </c>
      <c r="I183" s="63">
        <f t="shared" si="28"/>
        <v>36.646464646464644</v>
      </c>
      <c r="J183" s="64">
        <f t="shared" si="29"/>
        <v>1342.9633710845831</v>
      </c>
      <c r="K183" s="20">
        <v>15</v>
      </c>
      <c r="L183" s="64">
        <f t="shared" si="30"/>
        <v>-882.04040404040404</v>
      </c>
      <c r="M183" s="63">
        <f t="shared" si="31"/>
        <v>882.04040404040404</v>
      </c>
      <c r="N183" s="64">
        <f t="shared" si="32"/>
        <v>777995.27435975918</v>
      </c>
      <c r="O183" s="20">
        <v>10.23</v>
      </c>
      <c r="P183" s="64">
        <f t="shared" si="33"/>
        <v>0.1608080808080885</v>
      </c>
      <c r="Q183" s="63">
        <f t="shared" si="34"/>
        <v>0.1608080808080885</v>
      </c>
      <c r="R183" s="64">
        <f t="shared" si="35"/>
        <v>2.5859238853180724E-2</v>
      </c>
    </row>
    <row r="184" spans="1:18" x14ac:dyDescent="0.2">
      <c r="A184" s="21">
        <v>115</v>
      </c>
      <c r="B184" s="21">
        <v>2</v>
      </c>
      <c r="C184" s="20">
        <v>55</v>
      </c>
      <c r="D184" s="64">
        <f t="shared" si="24"/>
        <v>-2752.8333333333335</v>
      </c>
      <c r="E184" s="63">
        <f t="shared" si="25"/>
        <v>2752.8333333333335</v>
      </c>
      <c r="F184" s="64">
        <f t="shared" si="26"/>
        <v>7578091.3611111119</v>
      </c>
      <c r="G184" s="20">
        <v>0</v>
      </c>
      <c r="H184" s="64">
        <f t="shared" si="27"/>
        <v>-36.646464646464644</v>
      </c>
      <c r="I184" s="63">
        <f t="shared" si="28"/>
        <v>36.646464646464644</v>
      </c>
      <c r="J184" s="64">
        <f t="shared" si="29"/>
        <v>1342.9633710845831</v>
      </c>
      <c r="K184" s="20">
        <v>17</v>
      </c>
      <c r="L184" s="64">
        <f t="shared" si="30"/>
        <v>-880.04040404040404</v>
      </c>
      <c r="M184" s="63">
        <f t="shared" si="31"/>
        <v>880.04040404040404</v>
      </c>
      <c r="N184" s="64">
        <f t="shared" si="32"/>
        <v>774471.11274359759</v>
      </c>
      <c r="O184" s="20">
        <v>8.86</v>
      </c>
      <c r="P184" s="64">
        <f t="shared" si="33"/>
        <v>-1.2091919191919125</v>
      </c>
      <c r="Q184" s="63">
        <f t="shared" si="34"/>
        <v>1.2091919191919125</v>
      </c>
      <c r="R184" s="64">
        <f t="shared" si="35"/>
        <v>1.4621450974390207</v>
      </c>
    </row>
    <row r="185" spans="1:18" x14ac:dyDescent="0.2">
      <c r="A185" s="21">
        <v>116</v>
      </c>
      <c r="B185" s="21">
        <v>2</v>
      </c>
      <c r="C185" s="20">
        <v>54</v>
      </c>
      <c r="D185" s="64">
        <f t="shared" si="24"/>
        <v>-2753.8333333333335</v>
      </c>
      <c r="E185" s="63">
        <f t="shared" si="25"/>
        <v>2753.8333333333335</v>
      </c>
      <c r="F185" s="64">
        <f t="shared" si="26"/>
        <v>7583598.0277777789</v>
      </c>
      <c r="G185" s="20">
        <v>1</v>
      </c>
      <c r="H185" s="64">
        <f t="shared" si="27"/>
        <v>-35.646464646464644</v>
      </c>
      <c r="I185" s="63">
        <f t="shared" si="28"/>
        <v>35.646464646464644</v>
      </c>
      <c r="J185" s="64">
        <f t="shared" si="29"/>
        <v>1270.6704417916537</v>
      </c>
      <c r="K185" s="20">
        <v>17</v>
      </c>
      <c r="L185" s="64">
        <f t="shared" si="30"/>
        <v>-880.04040404040404</v>
      </c>
      <c r="M185" s="63">
        <f t="shared" si="31"/>
        <v>880.04040404040404</v>
      </c>
      <c r="N185" s="64">
        <f t="shared" si="32"/>
        <v>774471.11274359759</v>
      </c>
      <c r="O185" s="20">
        <v>8.6999999999999993</v>
      </c>
      <c r="P185" s="64">
        <f t="shared" si="33"/>
        <v>-1.3691919191919126</v>
      </c>
      <c r="Q185" s="63">
        <f t="shared" si="34"/>
        <v>1.3691919191919126</v>
      </c>
      <c r="R185" s="64">
        <f t="shared" si="35"/>
        <v>1.874686511580433</v>
      </c>
    </row>
    <row r="186" spans="1:18" x14ac:dyDescent="0.2">
      <c r="A186" s="21">
        <v>117</v>
      </c>
      <c r="B186" s="21">
        <v>2</v>
      </c>
      <c r="C186" s="20">
        <v>53</v>
      </c>
      <c r="D186" s="64">
        <f t="shared" si="24"/>
        <v>-2754.8333333333335</v>
      </c>
      <c r="E186" s="63">
        <f t="shared" si="25"/>
        <v>2754.8333333333335</v>
      </c>
      <c r="F186" s="64">
        <f t="shared" si="26"/>
        <v>7589106.694444445</v>
      </c>
      <c r="G186" s="20">
        <v>1</v>
      </c>
      <c r="H186" s="64">
        <f t="shared" si="27"/>
        <v>-35.646464646464644</v>
      </c>
      <c r="I186" s="63">
        <f t="shared" si="28"/>
        <v>35.646464646464644</v>
      </c>
      <c r="J186" s="64">
        <f t="shared" si="29"/>
        <v>1270.6704417916537</v>
      </c>
      <c r="K186" s="26">
        <v>15</v>
      </c>
      <c r="L186" s="64">
        <f t="shared" si="30"/>
        <v>-882.04040404040404</v>
      </c>
      <c r="M186" s="63">
        <f t="shared" si="31"/>
        <v>882.04040404040404</v>
      </c>
      <c r="N186" s="64">
        <f t="shared" si="32"/>
        <v>777995.27435975918</v>
      </c>
      <c r="O186" s="20">
        <v>9.68</v>
      </c>
      <c r="P186" s="64">
        <f t="shared" si="33"/>
        <v>-0.38919191919191221</v>
      </c>
      <c r="Q186" s="63">
        <f t="shared" si="34"/>
        <v>0.38919191919191221</v>
      </c>
      <c r="R186" s="64">
        <f t="shared" si="35"/>
        <v>0.15147034996428391</v>
      </c>
    </row>
    <row r="187" spans="1:18" x14ac:dyDescent="0.2">
      <c r="A187" s="21">
        <v>118</v>
      </c>
      <c r="B187" s="21">
        <v>2</v>
      </c>
      <c r="C187" s="20">
        <v>53</v>
      </c>
      <c r="D187" s="64">
        <f t="shared" si="24"/>
        <v>-2754.8333333333335</v>
      </c>
      <c r="E187" s="63">
        <f t="shared" si="25"/>
        <v>2754.8333333333335</v>
      </c>
      <c r="F187" s="64">
        <f t="shared" si="26"/>
        <v>7589106.694444445</v>
      </c>
      <c r="G187" s="20">
        <v>1</v>
      </c>
      <c r="H187" s="64">
        <f t="shared" si="27"/>
        <v>-35.646464646464644</v>
      </c>
      <c r="I187" s="63">
        <f t="shared" si="28"/>
        <v>35.646464646464644</v>
      </c>
      <c r="J187" s="64">
        <f t="shared" si="29"/>
        <v>1270.6704417916537</v>
      </c>
      <c r="K187" s="20">
        <v>17</v>
      </c>
      <c r="L187" s="64">
        <f t="shared" si="30"/>
        <v>-880.04040404040404</v>
      </c>
      <c r="M187" s="63">
        <f t="shared" si="31"/>
        <v>880.04040404040404</v>
      </c>
      <c r="N187" s="64">
        <f t="shared" si="32"/>
        <v>774471.11274359759</v>
      </c>
      <c r="O187" s="20">
        <v>8.5399999999999991</v>
      </c>
      <c r="P187" s="64">
        <f t="shared" si="33"/>
        <v>-1.5291919191919128</v>
      </c>
      <c r="Q187" s="63">
        <f t="shared" si="34"/>
        <v>1.5291919191919128</v>
      </c>
      <c r="R187" s="64">
        <f t="shared" si="35"/>
        <v>2.3384279257218457</v>
      </c>
    </row>
    <row r="188" spans="1:18" x14ac:dyDescent="0.2">
      <c r="A188" s="21">
        <v>119</v>
      </c>
      <c r="B188" s="21">
        <v>2</v>
      </c>
      <c r="C188" s="20">
        <v>52</v>
      </c>
      <c r="D188" s="64">
        <f t="shared" si="24"/>
        <v>-2755.8333333333335</v>
      </c>
      <c r="E188" s="63">
        <f t="shared" si="25"/>
        <v>2755.8333333333335</v>
      </c>
      <c r="F188" s="64">
        <f t="shared" si="26"/>
        <v>7594617.3611111119</v>
      </c>
      <c r="G188" s="20">
        <v>0</v>
      </c>
      <c r="H188" s="64">
        <f t="shared" si="27"/>
        <v>-36.646464646464644</v>
      </c>
      <c r="I188" s="63">
        <f t="shared" si="28"/>
        <v>36.646464646464644</v>
      </c>
      <c r="J188" s="64">
        <f t="shared" si="29"/>
        <v>1342.9633710845831</v>
      </c>
      <c r="K188" s="20">
        <v>15</v>
      </c>
      <c r="L188" s="64">
        <f t="shared" si="30"/>
        <v>-882.04040404040404</v>
      </c>
      <c r="M188" s="63">
        <f t="shared" si="31"/>
        <v>882.04040404040404</v>
      </c>
      <c r="N188" s="64">
        <f t="shared" si="32"/>
        <v>777995.27435975918</v>
      </c>
      <c r="O188" s="20">
        <v>9.5</v>
      </c>
      <c r="P188" s="64">
        <f t="shared" si="33"/>
        <v>-0.56919191919191192</v>
      </c>
      <c r="Q188" s="63">
        <f t="shared" si="34"/>
        <v>0.56919191919191192</v>
      </c>
      <c r="R188" s="64">
        <f t="shared" si="35"/>
        <v>0.32397944087337199</v>
      </c>
    </row>
    <row r="189" spans="1:18" x14ac:dyDescent="0.2">
      <c r="A189" s="21">
        <v>120</v>
      </c>
      <c r="B189" s="21">
        <v>2</v>
      </c>
      <c r="C189" s="20">
        <v>51</v>
      </c>
      <c r="D189" s="64">
        <f t="shared" si="24"/>
        <v>-2756.8333333333335</v>
      </c>
      <c r="E189" s="63">
        <f t="shared" si="25"/>
        <v>2756.8333333333335</v>
      </c>
      <c r="F189" s="64">
        <f t="shared" si="26"/>
        <v>7600130.0277777789</v>
      </c>
      <c r="G189" s="20">
        <v>0</v>
      </c>
      <c r="H189" s="64">
        <f t="shared" si="27"/>
        <v>-36.646464646464644</v>
      </c>
      <c r="I189" s="63">
        <f t="shared" si="28"/>
        <v>36.646464646464644</v>
      </c>
      <c r="J189" s="64">
        <f t="shared" si="29"/>
        <v>1342.9633710845831</v>
      </c>
      <c r="K189" s="20">
        <v>11</v>
      </c>
      <c r="L189" s="64">
        <f t="shared" si="30"/>
        <v>-886.04040404040404</v>
      </c>
      <c r="M189" s="63">
        <f t="shared" si="31"/>
        <v>886.04040404040404</v>
      </c>
      <c r="N189" s="64">
        <f t="shared" si="32"/>
        <v>785067.59759208246</v>
      </c>
      <c r="O189" s="20">
        <v>12.7</v>
      </c>
      <c r="P189" s="64">
        <f t="shared" si="33"/>
        <v>2.6308080808080874</v>
      </c>
      <c r="Q189" s="63">
        <f t="shared" si="34"/>
        <v>2.6308080808080874</v>
      </c>
      <c r="R189" s="64">
        <f t="shared" si="35"/>
        <v>6.9211511580451317</v>
      </c>
    </row>
    <row r="190" spans="1:18" x14ac:dyDescent="0.2">
      <c r="A190" s="21">
        <v>121</v>
      </c>
      <c r="B190" s="21">
        <v>2</v>
      </c>
      <c r="C190" s="20">
        <v>51</v>
      </c>
      <c r="D190" s="64">
        <f t="shared" si="24"/>
        <v>-2756.8333333333335</v>
      </c>
      <c r="E190" s="63">
        <f t="shared" si="25"/>
        <v>2756.8333333333335</v>
      </c>
      <c r="F190" s="64">
        <f t="shared" si="26"/>
        <v>7600130.0277777789</v>
      </c>
      <c r="G190" s="20">
        <v>1</v>
      </c>
      <c r="H190" s="64">
        <f t="shared" si="27"/>
        <v>-35.646464646464644</v>
      </c>
      <c r="I190" s="63">
        <f t="shared" si="28"/>
        <v>35.646464646464644</v>
      </c>
      <c r="J190" s="64">
        <f t="shared" si="29"/>
        <v>1270.6704417916537</v>
      </c>
      <c r="K190" s="20">
        <v>20</v>
      </c>
      <c r="L190" s="64">
        <f t="shared" si="30"/>
        <v>-877.04040404040404</v>
      </c>
      <c r="M190" s="63">
        <f t="shared" si="31"/>
        <v>877.04040404040404</v>
      </c>
      <c r="N190" s="64">
        <f t="shared" si="32"/>
        <v>769199.87031935516</v>
      </c>
      <c r="O190" s="20">
        <v>6.99</v>
      </c>
      <c r="P190" s="64">
        <f t="shared" si="33"/>
        <v>-3.0791919191919117</v>
      </c>
      <c r="Q190" s="63">
        <f t="shared" si="34"/>
        <v>3.0791919191919117</v>
      </c>
      <c r="R190" s="64">
        <f t="shared" si="35"/>
        <v>9.4814228752167686</v>
      </c>
    </row>
    <row r="191" spans="1:18" x14ac:dyDescent="0.2">
      <c r="A191" s="21">
        <v>122</v>
      </c>
      <c r="B191" s="21">
        <v>2</v>
      </c>
      <c r="C191" s="20">
        <v>51</v>
      </c>
      <c r="D191" s="64">
        <f t="shared" si="24"/>
        <v>-2756.8333333333335</v>
      </c>
      <c r="E191" s="63">
        <f t="shared" si="25"/>
        <v>2756.8333333333335</v>
      </c>
      <c r="F191" s="64">
        <f t="shared" si="26"/>
        <v>7600130.0277777789</v>
      </c>
      <c r="G191" s="20">
        <v>2</v>
      </c>
      <c r="H191" s="64">
        <f t="shared" si="27"/>
        <v>-34.646464646464644</v>
      </c>
      <c r="I191" s="63">
        <f t="shared" si="28"/>
        <v>34.646464646464644</v>
      </c>
      <c r="J191" s="64">
        <f t="shared" si="29"/>
        <v>1200.3775124987244</v>
      </c>
      <c r="K191" s="20">
        <v>22</v>
      </c>
      <c r="L191" s="64">
        <f t="shared" si="30"/>
        <v>-875.04040404040404</v>
      </c>
      <c r="M191" s="63">
        <f t="shared" si="31"/>
        <v>875.04040404040404</v>
      </c>
      <c r="N191" s="64">
        <f t="shared" si="32"/>
        <v>765695.70870319358</v>
      </c>
      <c r="O191" s="20">
        <v>6.35</v>
      </c>
      <c r="P191" s="64">
        <f t="shared" si="33"/>
        <v>-3.7191919191919123</v>
      </c>
      <c r="Q191" s="63">
        <f t="shared" si="34"/>
        <v>3.7191919191919123</v>
      </c>
      <c r="R191" s="64">
        <f t="shared" si="35"/>
        <v>13.832388531782419</v>
      </c>
    </row>
    <row r="192" spans="1:18" x14ac:dyDescent="0.2">
      <c r="A192" s="21">
        <v>123</v>
      </c>
      <c r="B192" s="21">
        <v>2</v>
      </c>
      <c r="C192" s="20">
        <v>49</v>
      </c>
      <c r="D192" s="64">
        <f t="shared" si="24"/>
        <v>-2758.8333333333335</v>
      </c>
      <c r="E192" s="63">
        <f t="shared" si="25"/>
        <v>2758.8333333333335</v>
      </c>
      <c r="F192" s="64">
        <f t="shared" si="26"/>
        <v>7611161.3611111119</v>
      </c>
      <c r="G192" s="20">
        <v>1</v>
      </c>
      <c r="H192" s="64">
        <f t="shared" si="27"/>
        <v>-35.646464646464644</v>
      </c>
      <c r="I192" s="63">
        <f t="shared" si="28"/>
        <v>35.646464646464644</v>
      </c>
      <c r="J192" s="64">
        <f t="shared" si="29"/>
        <v>1270.6704417916537</v>
      </c>
      <c r="K192" s="20">
        <v>15</v>
      </c>
      <c r="L192" s="64">
        <f t="shared" si="30"/>
        <v>-882.04040404040404</v>
      </c>
      <c r="M192" s="63">
        <f t="shared" si="31"/>
        <v>882.04040404040404</v>
      </c>
      <c r="N192" s="64">
        <f t="shared" si="32"/>
        <v>777995.27435975918</v>
      </c>
      <c r="O192" s="20">
        <v>8.9499999999999993</v>
      </c>
      <c r="P192" s="64">
        <f t="shared" si="33"/>
        <v>-1.1191919191919126</v>
      </c>
      <c r="Q192" s="63">
        <f t="shared" si="34"/>
        <v>1.1191919191919126</v>
      </c>
      <c r="R192" s="64">
        <f t="shared" si="35"/>
        <v>1.2525905519844767</v>
      </c>
    </row>
    <row r="193" spans="1:18" x14ac:dyDescent="0.2">
      <c r="A193" s="21">
        <v>124</v>
      </c>
      <c r="B193" s="21">
        <v>2</v>
      </c>
      <c r="C193" s="20">
        <v>49</v>
      </c>
      <c r="D193" s="64">
        <f t="shared" si="24"/>
        <v>-2758.8333333333335</v>
      </c>
      <c r="E193" s="63">
        <f t="shared" si="25"/>
        <v>2758.8333333333335</v>
      </c>
      <c r="F193" s="64">
        <f t="shared" si="26"/>
        <v>7611161.3611111119</v>
      </c>
      <c r="G193" s="20">
        <v>3</v>
      </c>
      <c r="H193" s="64">
        <f t="shared" si="27"/>
        <v>-33.646464646464644</v>
      </c>
      <c r="I193" s="63">
        <f t="shared" si="28"/>
        <v>33.646464646464644</v>
      </c>
      <c r="J193" s="64">
        <f t="shared" si="29"/>
        <v>1132.0845832057951</v>
      </c>
      <c r="K193" s="20">
        <v>19</v>
      </c>
      <c r="L193" s="64">
        <f t="shared" si="30"/>
        <v>-878.04040404040404</v>
      </c>
      <c r="M193" s="63">
        <f t="shared" si="31"/>
        <v>878.04040404040404</v>
      </c>
      <c r="N193" s="64">
        <f t="shared" si="32"/>
        <v>770954.95112743601</v>
      </c>
      <c r="O193" s="20">
        <v>7.07</v>
      </c>
      <c r="P193" s="64">
        <f t="shared" si="33"/>
        <v>-2.9991919191919116</v>
      </c>
      <c r="Q193" s="63">
        <f t="shared" si="34"/>
        <v>2.9991919191919116</v>
      </c>
      <c r="R193" s="64">
        <f t="shared" si="35"/>
        <v>8.9951521681460616</v>
      </c>
    </row>
    <row r="194" spans="1:18" x14ac:dyDescent="0.2">
      <c r="A194" s="21">
        <v>125</v>
      </c>
      <c r="B194" s="21">
        <v>2</v>
      </c>
      <c r="C194" s="20">
        <v>46</v>
      </c>
      <c r="D194" s="64">
        <f t="shared" si="24"/>
        <v>-2761.8333333333335</v>
      </c>
      <c r="E194" s="63">
        <f t="shared" si="25"/>
        <v>2761.8333333333335</v>
      </c>
      <c r="F194" s="64">
        <f t="shared" si="26"/>
        <v>7627723.3611111119</v>
      </c>
      <c r="G194" s="20">
        <v>2</v>
      </c>
      <c r="H194" s="64">
        <f t="shared" si="27"/>
        <v>-34.646464646464644</v>
      </c>
      <c r="I194" s="63">
        <f t="shared" si="28"/>
        <v>34.646464646464644</v>
      </c>
      <c r="J194" s="64">
        <f t="shared" si="29"/>
        <v>1200.3775124987244</v>
      </c>
      <c r="K194" s="20">
        <v>15</v>
      </c>
      <c r="L194" s="64">
        <f t="shared" si="30"/>
        <v>-882.04040404040404</v>
      </c>
      <c r="M194" s="63">
        <f t="shared" si="31"/>
        <v>882.04040404040404</v>
      </c>
      <c r="N194" s="64">
        <f t="shared" si="32"/>
        <v>777995.27435975918</v>
      </c>
      <c r="O194" s="20">
        <v>8.4</v>
      </c>
      <c r="P194" s="64">
        <f t="shared" si="33"/>
        <v>-1.6691919191919116</v>
      </c>
      <c r="Q194" s="63">
        <f t="shared" si="34"/>
        <v>1.6691919191919116</v>
      </c>
      <c r="R194" s="64">
        <f t="shared" si="35"/>
        <v>2.7862016630955768</v>
      </c>
    </row>
    <row r="195" spans="1:18" x14ac:dyDescent="0.2">
      <c r="A195" s="21">
        <v>126</v>
      </c>
      <c r="B195" s="21">
        <v>2</v>
      </c>
      <c r="C195" s="20">
        <v>45</v>
      </c>
      <c r="D195" s="64">
        <f t="shared" si="24"/>
        <v>-2762.8333333333335</v>
      </c>
      <c r="E195" s="63">
        <f t="shared" si="25"/>
        <v>2762.8333333333335</v>
      </c>
      <c r="F195" s="64">
        <f t="shared" si="26"/>
        <v>7633248.0277777789</v>
      </c>
      <c r="G195" s="20">
        <v>0</v>
      </c>
      <c r="H195" s="64">
        <f t="shared" si="27"/>
        <v>-36.646464646464644</v>
      </c>
      <c r="I195" s="63">
        <f t="shared" si="28"/>
        <v>36.646464646464644</v>
      </c>
      <c r="J195" s="64">
        <f t="shared" si="29"/>
        <v>1342.9633710845831</v>
      </c>
      <c r="K195" s="20">
        <v>18</v>
      </c>
      <c r="L195" s="64">
        <f t="shared" si="30"/>
        <v>-879.04040404040404</v>
      </c>
      <c r="M195" s="63">
        <f t="shared" si="31"/>
        <v>879.04040404040404</v>
      </c>
      <c r="N195" s="64">
        <f t="shared" si="32"/>
        <v>772712.03193551674</v>
      </c>
      <c r="O195" s="20">
        <v>6.85</v>
      </c>
      <c r="P195" s="64">
        <f t="shared" si="33"/>
        <v>-3.2191919191919123</v>
      </c>
      <c r="Q195" s="63">
        <f t="shared" si="34"/>
        <v>3.2191919191919123</v>
      </c>
      <c r="R195" s="64">
        <f t="shared" si="35"/>
        <v>10.363196612590507</v>
      </c>
    </row>
    <row r="196" spans="1:18" x14ac:dyDescent="0.2">
      <c r="A196" s="21">
        <v>127</v>
      </c>
      <c r="B196" s="21">
        <v>2</v>
      </c>
      <c r="C196" s="20">
        <v>43</v>
      </c>
      <c r="D196" s="64">
        <f t="shared" si="24"/>
        <v>-2764.8333333333335</v>
      </c>
      <c r="E196" s="63">
        <f t="shared" si="25"/>
        <v>2764.8333333333335</v>
      </c>
      <c r="F196" s="64">
        <f t="shared" si="26"/>
        <v>7644303.3611111119</v>
      </c>
      <c r="G196" s="20">
        <v>0</v>
      </c>
      <c r="H196" s="64">
        <f t="shared" si="27"/>
        <v>-36.646464646464644</v>
      </c>
      <c r="I196" s="63">
        <f t="shared" si="28"/>
        <v>36.646464646464644</v>
      </c>
      <c r="J196" s="64">
        <f t="shared" si="29"/>
        <v>1342.9633710845831</v>
      </c>
      <c r="K196" s="20">
        <v>9</v>
      </c>
      <c r="L196" s="64">
        <f t="shared" si="30"/>
        <v>-888.04040404040404</v>
      </c>
      <c r="M196" s="63">
        <f t="shared" si="31"/>
        <v>888.04040404040404</v>
      </c>
      <c r="N196" s="64">
        <f t="shared" si="32"/>
        <v>788615.75920824404</v>
      </c>
      <c r="O196" s="20">
        <v>13.09</v>
      </c>
      <c r="P196" s="64">
        <f t="shared" si="33"/>
        <v>3.0208080808080879</v>
      </c>
      <c r="Q196" s="63">
        <f t="shared" si="34"/>
        <v>3.0208080808080879</v>
      </c>
      <c r="R196" s="64">
        <f t="shared" si="35"/>
        <v>9.1252814610754438</v>
      </c>
    </row>
    <row r="197" spans="1:18" x14ac:dyDescent="0.2">
      <c r="A197" s="21">
        <v>128</v>
      </c>
      <c r="B197" s="21">
        <v>2</v>
      </c>
      <c r="C197" s="20">
        <v>39</v>
      </c>
      <c r="D197" s="64">
        <f t="shared" si="24"/>
        <v>-2768.8333333333335</v>
      </c>
      <c r="E197" s="63">
        <f t="shared" si="25"/>
        <v>2768.8333333333335</v>
      </c>
      <c r="F197" s="64">
        <f t="shared" si="26"/>
        <v>7666438.0277777789</v>
      </c>
      <c r="G197" s="20">
        <v>0</v>
      </c>
      <c r="H197" s="64">
        <f t="shared" si="27"/>
        <v>-36.646464646464644</v>
      </c>
      <c r="I197" s="63">
        <f t="shared" si="28"/>
        <v>36.646464646464644</v>
      </c>
      <c r="J197" s="64">
        <f t="shared" si="29"/>
        <v>1342.9633710845831</v>
      </c>
      <c r="K197" s="20">
        <v>9</v>
      </c>
      <c r="L197" s="64">
        <f t="shared" si="30"/>
        <v>-888.04040404040404</v>
      </c>
      <c r="M197" s="63">
        <f t="shared" si="31"/>
        <v>888.04040404040404</v>
      </c>
      <c r="N197" s="64">
        <f t="shared" si="32"/>
        <v>788615.75920824404</v>
      </c>
      <c r="O197" s="20">
        <v>11.87</v>
      </c>
      <c r="P197" s="64">
        <f t="shared" si="33"/>
        <v>1.8008080808080873</v>
      </c>
      <c r="Q197" s="63">
        <f t="shared" si="34"/>
        <v>1.8008080808080873</v>
      </c>
      <c r="R197" s="64">
        <f t="shared" si="35"/>
        <v>3.2429097439037067</v>
      </c>
    </row>
    <row r="198" spans="1:18" x14ac:dyDescent="0.2">
      <c r="A198" s="21">
        <v>129</v>
      </c>
      <c r="B198" s="21">
        <v>2</v>
      </c>
      <c r="C198" s="20">
        <v>37</v>
      </c>
      <c r="D198" s="64">
        <f t="shared" ref="D198:D201" si="36">C198-$C$212</f>
        <v>-2770.8333333333335</v>
      </c>
      <c r="E198" s="63">
        <f t="shared" ref="E198:E202" si="37">ABS(D198)</f>
        <v>2770.8333333333335</v>
      </c>
      <c r="F198" s="64">
        <f t="shared" ref="F198:F202" si="38">POWER(E198,2)</f>
        <v>7677517.3611111119</v>
      </c>
      <c r="G198" s="20">
        <v>0</v>
      </c>
      <c r="H198" s="64">
        <f t="shared" ref="H198:H202" si="39">G198-$C$213</f>
        <v>-36.646464646464644</v>
      </c>
      <c r="I198" s="63">
        <f t="shared" ref="I198:I202" si="40">ABS(H198)</f>
        <v>36.646464646464644</v>
      </c>
      <c r="J198" s="64">
        <f t="shared" ref="J198:J202" si="41">POWER(I198,2)</f>
        <v>1342.9633710845831</v>
      </c>
      <c r="K198" s="20">
        <v>14</v>
      </c>
      <c r="L198" s="64">
        <f t="shared" ref="L198:L201" si="42">K198-$C$214</f>
        <v>-883.04040404040404</v>
      </c>
      <c r="M198" s="63">
        <f t="shared" ref="M198:M202" si="43">ABS(L198)</f>
        <v>883.04040404040404</v>
      </c>
      <c r="N198" s="64">
        <f t="shared" ref="N198:N202" si="44">POWER(M198,2)</f>
        <v>779760.35516784003</v>
      </c>
      <c r="O198" s="20">
        <v>7.24</v>
      </c>
      <c r="P198" s="64">
        <f t="shared" ref="P198:P202" si="45">O198-$C$215</f>
        <v>-2.8291919191919117</v>
      </c>
      <c r="Q198" s="63">
        <f t="shared" ref="Q198:Q202" si="46">ABS(P198)</f>
        <v>2.8291919191919117</v>
      </c>
      <c r="R198" s="64">
        <f t="shared" ref="R198:R202" si="47">POWER(Q198,2)</f>
        <v>8.0043269156208119</v>
      </c>
    </row>
    <row r="199" spans="1:18" x14ac:dyDescent="0.2">
      <c r="A199" s="21">
        <v>130</v>
      </c>
      <c r="B199" s="21">
        <v>2</v>
      </c>
      <c r="C199" s="20">
        <v>32</v>
      </c>
      <c r="D199" s="64">
        <f t="shared" si="36"/>
        <v>-2775.8333333333335</v>
      </c>
      <c r="E199" s="63">
        <f t="shared" si="37"/>
        <v>2775.8333333333335</v>
      </c>
      <c r="F199" s="64">
        <f t="shared" si="38"/>
        <v>7705250.694444445</v>
      </c>
      <c r="G199" s="20">
        <v>2</v>
      </c>
      <c r="H199" s="64">
        <f t="shared" si="39"/>
        <v>-34.646464646464644</v>
      </c>
      <c r="I199" s="63">
        <f t="shared" si="40"/>
        <v>34.646464646464644</v>
      </c>
      <c r="J199" s="64">
        <f t="shared" si="41"/>
        <v>1200.3775124987244</v>
      </c>
      <c r="K199" s="20">
        <v>15</v>
      </c>
      <c r="L199" s="64">
        <f t="shared" si="42"/>
        <v>-882.04040404040404</v>
      </c>
      <c r="M199" s="63">
        <f t="shared" si="43"/>
        <v>882.04040404040404</v>
      </c>
      <c r="N199" s="64">
        <f t="shared" si="44"/>
        <v>777995.27435975918</v>
      </c>
      <c r="O199" s="20">
        <v>5.84</v>
      </c>
      <c r="P199" s="64">
        <f t="shared" si="45"/>
        <v>-4.2291919191919121</v>
      </c>
      <c r="Q199" s="63">
        <f t="shared" si="46"/>
        <v>4.2291919191919121</v>
      </c>
      <c r="R199" s="64">
        <f t="shared" si="47"/>
        <v>17.886064289358167</v>
      </c>
    </row>
    <row r="200" spans="1:18" x14ac:dyDescent="0.2">
      <c r="A200" s="21">
        <v>131</v>
      </c>
      <c r="B200" s="21">
        <v>2</v>
      </c>
      <c r="C200" s="20">
        <v>31</v>
      </c>
      <c r="D200" s="64">
        <f t="shared" si="36"/>
        <v>-2776.8333333333335</v>
      </c>
      <c r="E200" s="63">
        <f t="shared" si="37"/>
        <v>2776.8333333333335</v>
      </c>
      <c r="F200" s="64">
        <f t="shared" si="38"/>
        <v>7710803.3611111119</v>
      </c>
      <c r="G200" s="20">
        <v>1</v>
      </c>
      <c r="H200" s="64">
        <f t="shared" si="39"/>
        <v>-35.646464646464644</v>
      </c>
      <c r="I200" s="63">
        <f t="shared" si="40"/>
        <v>35.646464646464644</v>
      </c>
      <c r="J200" s="64">
        <f t="shared" si="41"/>
        <v>1270.6704417916537</v>
      </c>
      <c r="K200" s="20">
        <v>10</v>
      </c>
      <c r="L200" s="64">
        <f t="shared" si="42"/>
        <v>-887.04040404040404</v>
      </c>
      <c r="M200" s="63">
        <f t="shared" si="43"/>
        <v>887.04040404040404</v>
      </c>
      <c r="N200" s="64">
        <f t="shared" si="44"/>
        <v>786840.67840016331</v>
      </c>
      <c r="O200" s="20">
        <v>8.49</v>
      </c>
      <c r="P200" s="64">
        <f t="shared" si="45"/>
        <v>-1.5791919191919117</v>
      </c>
      <c r="Q200" s="63">
        <f t="shared" si="46"/>
        <v>1.5791919191919117</v>
      </c>
      <c r="R200" s="64">
        <f t="shared" si="47"/>
        <v>2.4938471176410335</v>
      </c>
    </row>
    <row r="201" spans="1:18" x14ac:dyDescent="0.2">
      <c r="A201" s="21">
        <v>132</v>
      </c>
      <c r="B201" s="21">
        <v>2</v>
      </c>
      <c r="C201" s="20">
        <v>27</v>
      </c>
      <c r="D201" s="64">
        <f t="shared" si="36"/>
        <v>-2780.8333333333335</v>
      </c>
      <c r="E201" s="63">
        <f t="shared" si="37"/>
        <v>2780.8333333333335</v>
      </c>
      <c r="F201" s="64">
        <f t="shared" si="38"/>
        <v>7733034.0277777789</v>
      </c>
      <c r="G201" s="20">
        <v>0</v>
      </c>
      <c r="H201" s="64">
        <f t="shared" si="39"/>
        <v>-36.646464646464644</v>
      </c>
      <c r="I201" s="63">
        <f t="shared" si="40"/>
        <v>36.646464646464644</v>
      </c>
      <c r="J201" s="64">
        <f t="shared" si="41"/>
        <v>1342.9633710845831</v>
      </c>
      <c r="K201" s="20">
        <v>16</v>
      </c>
      <c r="L201" s="64">
        <f t="shared" si="42"/>
        <v>-881.04040404040404</v>
      </c>
      <c r="M201" s="63">
        <f t="shared" si="43"/>
        <v>881.04040404040404</v>
      </c>
      <c r="N201" s="64">
        <f t="shared" si="44"/>
        <v>776232.19355167844</v>
      </c>
      <c r="O201" s="20">
        <v>4.62</v>
      </c>
      <c r="P201" s="64">
        <f t="shared" si="45"/>
        <v>-5.4491919191919118</v>
      </c>
      <c r="Q201" s="63">
        <f t="shared" si="46"/>
        <v>5.4491919191919118</v>
      </c>
      <c r="R201" s="64">
        <f t="shared" si="47"/>
        <v>29.693692572186432</v>
      </c>
    </row>
    <row r="202" spans="1:18" x14ac:dyDescent="0.2">
      <c r="A202" s="21">
        <v>133</v>
      </c>
      <c r="B202" s="21">
        <v>2</v>
      </c>
      <c r="C202" s="20">
        <v>25</v>
      </c>
      <c r="D202" s="64">
        <f>C202-$C$212</f>
        <v>-2782.8333333333335</v>
      </c>
      <c r="E202" s="63">
        <f t="shared" si="37"/>
        <v>2782.8333333333335</v>
      </c>
      <c r="F202" s="64">
        <f t="shared" si="38"/>
        <v>7744161.3611111119</v>
      </c>
      <c r="G202" s="20">
        <v>0</v>
      </c>
      <c r="H202" s="64">
        <f t="shared" si="39"/>
        <v>-36.646464646464644</v>
      </c>
      <c r="I202" s="63">
        <f t="shared" si="40"/>
        <v>36.646464646464644</v>
      </c>
      <c r="J202" s="64">
        <f t="shared" si="41"/>
        <v>1342.9633710845831</v>
      </c>
      <c r="K202" s="20">
        <v>10</v>
      </c>
      <c r="L202" s="64">
        <f>K202-$C$214</f>
        <v>-887.04040404040404</v>
      </c>
      <c r="M202" s="63">
        <f t="shared" si="43"/>
        <v>887.04040404040404</v>
      </c>
      <c r="N202" s="64">
        <f t="shared" si="44"/>
        <v>786840.67840016331</v>
      </c>
      <c r="O202" s="20">
        <v>6.85</v>
      </c>
      <c r="P202" s="64">
        <f t="shared" si="45"/>
        <v>-3.2191919191919123</v>
      </c>
      <c r="Q202" s="63">
        <f t="shared" si="46"/>
        <v>3.2191919191919123</v>
      </c>
      <c r="R202" s="64">
        <f t="shared" si="47"/>
        <v>10.363196612590507</v>
      </c>
    </row>
    <row r="203" spans="1:18" x14ac:dyDescent="0.2">
      <c r="A203" s="21" t="s">
        <v>274</v>
      </c>
      <c r="B203" s="21" t="s">
        <v>79</v>
      </c>
      <c r="C203" s="21">
        <f>SUM(C5:C202)</f>
        <v>555951</v>
      </c>
      <c r="D203" s="21" t="s">
        <v>79</v>
      </c>
      <c r="E203" s="21" t="s">
        <v>79</v>
      </c>
      <c r="F203" s="21" t="s">
        <v>79</v>
      </c>
      <c r="G203" s="21">
        <f t="shared" ref="G203:K203" si="48">SUM(G5:G202)</f>
        <v>7256</v>
      </c>
      <c r="H203" s="21" t="s">
        <v>79</v>
      </c>
      <c r="I203" s="21" t="s">
        <v>79</v>
      </c>
      <c r="J203" s="21" t="s">
        <v>79</v>
      </c>
      <c r="K203" s="21">
        <f t="shared" si="48"/>
        <v>177614</v>
      </c>
      <c r="L203" s="21" t="s">
        <v>79</v>
      </c>
      <c r="M203" s="21" t="s">
        <v>79</v>
      </c>
      <c r="N203" s="21" t="s">
        <v>79</v>
      </c>
      <c r="O203" s="21" t="s">
        <v>79</v>
      </c>
      <c r="P203" s="21" t="s">
        <v>79</v>
      </c>
      <c r="Q203" s="21" t="s">
        <v>79</v>
      </c>
      <c r="R203" s="21" t="s">
        <v>79</v>
      </c>
    </row>
    <row r="205" spans="1:18" x14ac:dyDescent="0.2">
      <c r="A205" s="6" t="s">
        <v>8</v>
      </c>
    </row>
    <row r="208" spans="1:18" ht="15.75" x14ac:dyDescent="0.25">
      <c r="A208" s="62" t="s">
        <v>268</v>
      </c>
    </row>
    <row r="210" spans="1:15" ht="64.5" x14ac:dyDescent="0.2">
      <c r="A210" s="80" t="s">
        <v>12</v>
      </c>
      <c r="B210" s="81"/>
      <c r="C210" s="2" t="s">
        <v>126</v>
      </c>
      <c r="D210" s="2" t="s">
        <v>164</v>
      </c>
      <c r="E210" s="2" t="s">
        <v>165</v>
      </c>
      <c r="F210" s="2" t="s">
        <v>166</v>
      </c>
      <c r="G210" s="2" t="s">
        <v>116</v>
      </c>
      <c r="H210" s="2" t="s">
        <v>117</v>
      </c>
      <c r="I210" s="2" t="s">
        <v>226</v>
      </c>
      <c r="J210" s="2" t="s">
        <v>118</v>
      </c>
      <c r="K210" s="2" t="s">
        <v>167</v>
      </c>
      <c r="L210" s="2" t="s">
        <v>125</v>
      </c>
      <c r="M210" s="2" t="s">
        <v>172</v>
      </c>
      <c r="N210" s="2" t="s">
        <v>128</v>
      </c>
      <c r="O210" s="2" t="s">
        <v>130</v>
      </c>
    </row>
    <row r="211" spans="1:15" x14ac:dyDescent="0.2">
      <c r="A211" s="16" t="s">
        <v>13</v>
      </c>
      <c r="B211" s="19" t="s">
        <v>14</v>
      </c>
      <c r="C211" s="19">
        <v>1</v>
      </c>
      <c r="D211" s="19">
        <v>2</v>
      </c>
      <c r="E211" s="19">
        <v>3</v>
      </c>
      <c r="F211" s="19">
        <v>4</v>
      </c>
      <c r="G211" s="19">
        <v>5</v>
      </c>
      <c r="H211" s="19">
        <v>6</v>
      </c>
      <c r="I211" s="19">
        <v>7</v>
      </c>
      <c r="J211" s="19">
        <v>8</v>
      </c>
      <c r="K211" s="19">
        <v>9</v>
      </c>
      <c r="L211" s="19">
        <v>10</v>
      </c>
      <c r="M211" s="19">
        <v>11</v>
      </c>
      <c r="N211" s="19">
        <v>12</v>
      </c>
      <c r="O211" s="19">
        <v>13</v>
      </c>
    </row>
    <row r="212" spans="1:15" ht="30" x14ac:dyDescent="0.2">
      <c r="A212" s="22" t="s">
        <v>37</v>
      </c>
      <c r="B212" s="19">
        <v>1</v>
      </c>
      <c r="C212" s="10">
        <f>AVERAGE(C5:C202)</f>
        <v>2807.8333333333335</v>
      </c>
      <c r="D212" s="10">
        <f>QUARTILE(C5:C202, 4)</f>
        <v>89620</v>
      </c>
      <c r="E212" s="10">
        <f>QUARTILE(C5:C202, 0)</f>
        <v>25</v>
      </c>
      <c r="F212" s="10">
        <f>D212-E212</f>
        <v>89595</v>
      </c>
      <c r="G212" s="10">
        <f>QUARTILE(C5:C202, 1)</f>
        <v>153.25</v>
      </c>
      <c r="H212" s="10">
        <f>QUARTILE(C5:C202, 3)</f>
        <v>490.75</v>
      </c>
      <c r="I212" s="10">
        <f>QUARTILE(C5:C202, 2)</f>
        <v>297.5</v>
      </c>
      <c r="J212" s="42" t="s">
        <v>269</v>
      </c>
      <c r="K212" s="10">
        <f>SUM(E5:E202)/COUNTA(E5:E202)</f>
        <v>4577.9545454545723</v>
      </c>
      <c r="L212" s="10">
        <f>SUM(F5:F202)/COUNTA((F5:F202))</f>
        <v>128651756.69444393</v>
      </c>
      <c r="M212" s="5">
        <f>SQRT(L212)</f>
        <v>11342.475774470226</v>
      </c>
      <c r="N212" s="5">
        <f>F212/C212*100</f>
        <v>3190.894521279753</v>
      </c>
      <c r="O212" s="5">
        <f>K212/C212*100</f>
        <v>163.04224652892165</v>
      </c>
    </row>
    <row r="213" spans="1:15" ht="60" x14ac:dyDescent="0.2">
      <c r="A213" s="22" t="s">
        <v>38</v>
      </c>
      <c r="B213" s="19">
        <v>2</v>
      </c>
      <c r="C213" s="10">
        <f>AVERAGE(G5:G202)</f>
        <v>36.646464646464644</v>
      </c>
      <c r="D213" s="10">
        <f>QUARTILE(G5:G202, 4)</f>
        <v>1607</v>
      </c>
      <c r="E213" s="10">
        <f>QUARTILE(G5:G202, 0)</f>
        <v>0</v>
      </c>
      <c r="F213" s="10">
        <f t="shared" ref="F213:F215" si="49">D213-E213</f>
        <v>1607</v>
      </c>
      <c r="G213" s="10">
        <f>QUARTILE(G5:G202, 1)</f>
        <v>2</v>
      </c>
      <c r="H213" s="10">
        <f>QUARTILE(G5:G202, 3)</f>
        <v>7</v>
      </c>
      <c r="I213" s="10">
        <f>QUARTILE(G5:G202, 2)</f>
        <v>4</v>
      </c>
      <c r="J213" s="42" t="s">
        <v>270</v>
      </c>
      <c r="K213" s="10">
        <f>SUM(I5:I202)/COUNTA((I5:I202))</f>
        <v>59.710131619222544</v>
      </c>
      <c r="L213" s="10">
        <f>SUM(J5:J202)/COUNTA(J5:J202)</f>
        <v>22221.501275380026</v>
      </c>
      <c r="M213" s="5">
        <f>SQRT(L213)</f>
        <v>149.06878035115207</v>
      </c>
      <c r="N213" s="5">
        <f t="shared" ref="N213:N215" si="50">F213/C213*100</f>
        <v>4385.1433296582145</v>
      </c>
      <c r="O213" s="5">
        <f t="shared" ref="O213:O215" si="51">K213/C213*100</f>
        <v>162.93558517924563</v>
      </c>
    </row>
    <row r="214" spans="1:15" ht="30" x14ac:dyDescent="0.2">
      <c r="A214" s="22" t="s">
        <v>39</v>
      </c>
      <c r="B214" s="19">
        <v>3</v>
      </c>
      <c r="C214" s="10">
        <f>AVERAGE(K5:K202)</f>
        <v>897.04040404040404</v>
      </c>
      <c r="D214" s="10">
        <f>QUARTILE(K5:K202,4 )</f>
        <v>34920</v>
      </c>
      <c r="E214" s="10">
        <f>QUARTILE(K5:K202,0 )</f>
        <v>9</v>
      </c>
      <c r="F214" s="10">
        <f t="shared" si="49"/>
        <v>34911</v>
      </c>
      <c r="G214" s="10">
        <f>QUARTILE(K5:K202,1 )</f>
        <v>45</v>
      </c>
      <c r="H214" s="10">
        <f>QUARTILE(K5:K202,3 )</f>
        <v>148.75</v>
      </c>
      <c r="I214" s="10">
        <f>QUARTILE(K5:K202,2 )</f>
        <v>76</v>
      </c>
      <c r="J214" s="42" t="s">
        <v>271</v>
      </c>
      <c r="K214" s="10">
        <f>SUM(M5:M202)/COUNTA(M5:M202)</f>
        <v>1496.2464034282198</v>
      </c>
      <c r="L214" s="10">
        <f>SUM(N5:N202)/COUNTA(N5:N202)</f>
        <v>13268890.715539217</v>
      </c>
      <c r="M214" s="5">
        <f t="shared" ref="M214:M215" si="52">SQRT(L214)</f>
        <v>3642.6488597638968</v>
      </c>
      <c r="N214" s="5">
        <f t="shared" si="50"/>
        <v>3891.7979438557772</v>
      </c>
      <c r="O214" s="5">
        <f t="shared" si="51"/>
        <v>166.79810593691235</v>
      </c>
    </row>
    <row r="215" spans="1:15" ht="30" x14ac:dyDescent="0.2">
      <c r="A215" s="22" t="s">
        <v>40</v>
      </c>
      <c r="B215" s="19">
        <v>4</v>
      </c>
      <c r="C215" s="10">
        <f>AVERAGE(O5:O202)</f>
        <v>10.069191919191912</v>
      </c>
      <c r="D215" s="10">
        <f>QUARTILE(O5:O202, 4)</f>
        <v>16.78</v>
      </c>
      <c r="E215" s="10">
        <f>QUARTILE(O5:O202, 0)</f>
        <v>2.0499999999999998</v>
      </c>
      <c r="F215" s="10">
        <f t="shared" si="49"/>
        <v>14.73</v>
      </c>
      <c r="G215" s="10">
        <f>QUARTILE(O5:O202, 1)</f>
        <v>7.7</v>
      </c>
      <c r="H215" s="10">
        <f>QUARTILE(O5:O202, 3)</f>
        <v>13.1775</v>
      </c>
      <c r="I215" s="10">
        <f>QUARTILE(O5:O202, 2)</f>
        <v>9.68</v>
      </c>
      <c r="J215" s="42" t="s">
        <v>272</v>
      </c>
      <c r="K215" s="10">
        <f>SUM(Q5:Q202)/COUNTA((Q5:Q202))</f>
        <v>2.9490256096316689</v>
      </c>
      <c r="L215" s="10">
        <f>SUM(R5:R202)/COUNTA((R5:R202))</f>
        <v>12.587721569227629</v>
      </c>
      <c r="M215" s="5">
        <f t="shared" si="52"/>
        <v>3.5479179203058839</v>
      </c>
      <c r="N215" s="5">
        <f t="shared" si="50"/>
        <v>146.28780659076102</v>
      </c>
      <c r="O215" s="5">
        <f t="shared" si="51"/>
        <v>29.287609505295226</v>
      </c>
    </row>
    <row r="217" spans="1:15" x14ac:dyDescent="0.2">
      <c r="A217" s="6" t="s">
        <v>183</v>
      </c>
    </row>
  </sheetData>
  <mergeCells count="1">
    <mergeCell ref="A210:B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</vt:lpstr>
      <vt:lpstr>1.1</vt:lpstr>
      <vt:lpstr>1.2</vt:lpstr>
      <vt:lpstr>1.3</vt:lpstr>
      <vt:lpstr>1.4</vt:lpstr>
      <vt:lpstr>1.5</vt:lpstr>
      <vt:lpstr>1.6</vt:lpstr>
      <vt:lpstr>1.7</vt:lpstr>
      <vt:lpstr>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Роман Гордиевский</cp:lastModifiedBy>
  <dcterms:created xsi:type="dcterms:W3CDTF">2023-03-01T09:34:15Z</dcterms:created>
  <dcterms:modified xsi:type="dcterms:W3CDTF">2026-05-17T19:36:13Z</dcterms:modified>
</cp:coreProperties>
</file>